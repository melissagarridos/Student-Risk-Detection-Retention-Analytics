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ardo Jose\Downloads\"/>
    </mc:Choice>
  </mc:AlternateContent>
  <xr:revisionPtr revIDLastSave="0" documentId="13_ncr:1_{31DD7E14-CF93-4D58-9A8D-1CBB9EDC7782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oster" sheetId="1" r:id="rId1"/>
    <sheet name="Off Track Fellows" sheetId="6" r:id="rId2"/>
    <sheet name="Class Attendance" sheetId="2" r:id="rId3"/>
    <sheet name="PD Project" sheetId="3" r:id="rId4"/>
    <sheet name="CSC Meetings" sheetId="4" r:id="rId5"/>
    <sheet name="CSC Meeting Per Student" sheetId="5" r:id="rId6"/>
  </sheets>
  <definedNames>
    <definedName name="_xlnm._FilterDatabase" localSheetId="2" hidden="1">'Class Attendance'!$A$1:$Q$217</definedName>
    <definedName name="_xlnm._FilterDatabase" localSheetId="0" hidden="1">Roster!$A$1:$I$217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" i="5"/>
  <c r="E3" i="3"/>
  <c r="E4" i="3"/>
  <c r="E5" i="3"/>
  <c r="E6" i="3"/>
  <c r="F6" i="3" s="1"/>
  <c r="E7" i="3"/>
  <c r="F7" i="3" s="1"/>
  <c r="E8" i="3"/>
  <c r="F8" i="3" s="1"/>
  <c r="E9" i="3"/>
  <c r="F9" i="3" s="1"/>
  <c r="E10" i="3"/>
  <c r="F10" i="3" s="1"/>
  <c r="E11" i="3"/>
  <c r="E12" i="3"/>
  <c r="E13" i="3"/>
  <c r="E14" i="3"/>
  <c r="F14" i="3" s="1"/>
  <c r="E15" i="3"/>
  <c r="F15" i="3" s="1"/>
  <c r="E16" i="3"/>
  <c r="F16" i="3" s="1"/>
  <c r="E17" i="3"/>
  <c r="F17" i="3" s="1"/>
  <c r="E18" i="3"/>
  <c r="F18" i="3" s="1"/>
  <c r="E19" i="3"/>
  <c r="E20" i="3"/>
  <c r="E21" i="3"/>
  <c r="E22" i="3"/>
  <c r="F22" i="3" s="1"/>
  <c r="E23" i="3"/>
  <c r="F23" i="3" s="1"/>
  <c r="E24" i="3"/>
  <c r="F24" i="3" s="1"/>
  <c r="E25" i="3"/>
  <c r="F25" i="3" s="1"/>
  <c r="E26" i="3"/>
  <c r="F26" i="3" s="1"/>
  <c r="E27" i="3"/>
  <c r="E28" i="3"/>
  <c r="E29" i="3"/>
  <c r="E30" i="3"/>
  <c r="F30" i="3" s="1"/>
  <c r="E31" i="3"/>
  <c r="F31" i="3" s="1"/>
  <c r="E32" i="3"/>
  <c r="F32" i="3" s="1"/>
  <c r="E33" i="3"/>
  <c r="F33" i="3" s="1"/>
  <c r="E34" i="3"/>
  <c r="F34" i="3" s="1"/>
  <c r="E35" i="3"/>
  <c r="E36" i="3"/>
  <c r="E37" i="3"/>
  <c r="E38" i="3"/>
  <c r="F38" i="3" s="1"/>
  <c r="E39" i="3"/>
  <c r="F39" i="3" s="1"/>
  <c r="E40" i="3"/>
  <c r="F40" i="3" s="1"/>
  <c r="E41" i="3"/>
  <c r="F41" i="3" s="1"/>
  <c r="E42" i="3"/>
  <c r="F42" i="3" s="1"/>
  <c r="E43" i="3"/>
  <c r="E44" i="3"/>
  <c r="E45" i="3"/>
  <c r="E46" i="3"/>
  <c r="F46" i="3" s="1"/>
  <c r="E47" i="3"/>
  <c r="F47" i="3" s="1"/>
  <c r="E48" i="3"/>
  <c r="F48" i="3" s="1"/>
  <c r="E49" i="3"/>
  <c r="F49" i="3" s="1"/>
  <c r="E50" i="3"/>
  <c r="F50" i="3" s="1"/>
  <c r="E51" i="3"/>
  <c r="E52" i="3"/>
  <c r="E53" i="3"/>
  <c r="E54" i="3"/>
  <c r="F54" i="3" s="1"/>
  <c r="E55" i="3"/>
  <c r="F55" i="3" s="1"/>
  <c r="E56" i="3"/>
  <c r="F56" i="3" s="1"/>
  <c r="E57" i="3"/>
  <c r="F57" i="3" s="1"/>
  <c r="E58" i="3"/>
  <c r="F58" i="3" s="1"/>
  <c r="E59" i="3"/>
  <c r="E60" i="3"/>
  <c r="E61" i="3"/>
  <c r="E62" i="3"/>
  <c r="F62" i="3" s="1"/>
  <c r="E63" i="3"/>
  <c r="F63" i="3" s="1"/>
  <c r="E64" i="3"/>
  <c r="F64" i="3" s="1"/>
  <c r="E65" i="3"/>
  <c r="F65" i="3" s="1"/>
  <c r="E66" i="3"/>
  <c r="F66" i="3" s="1"/>
  <c r="E67" i="3"/>
  <c r="E68" i="3"/>
  <c r="E69" i="3"/>
  <c r="E70" i="3"/>
  <c r="F70" i="3" s="1"/>
  <c r="E71" i="3"/>
  <c r="F71" i="3" s="1"/>
  <c r="E72" i="3"/>
  <c r="F72" i="3" s="1"/>
  <c r="E73" i="3"/>
  <c r="F73" i="3" s="1"/>
  <c r="E74" i="3"/>
  <c r="F74" i="3" s="1"/>
  <c r="E75" i="3"/>
  <c r="E76" i="3"/>
  <c r="E77" i="3"/>
  <c r="E78" i="3"/>
  <c r="F78" i="3" s="1"/>
  <c r="E79" i="3"/>
  <c r="F79" i="3" s="1"/>
  <c r="E80" i="3"/>
  <c r="F80" i="3" s="1"/>
  <c r="E81" i="3"/>
  <c r="F81" i="3" s="1"/>
  <c r="E82" i="3"/>
  <c r="F82" i="3" s="1"/>
  <c r="E83" i="3"/>
  <c r="E84" i="3"/>
  <c r="E85" i="3"/>
  <c r="E86" i="3"/>
  <c r="F86" i="3" s="1"/>
  <c r="E87" i="3"/>
  <c r="F87" i="3" s="1"/>
  <c r="E88" i="3"/>
  <c r="F88" i="3" s="1"/>
  <c r="E89" i="3"/>
  <c r="F89" i="3" s="1"/>
  <c r="E90" i="3"/>
  <c r="F90" i="3" s="1"/>
  <c r="E91" i="3"/>
  <c r="E92" i="3"/>
  <c r="E93" i="3"/>
  <c r="E94" i="3"/>
  <c r="F94" i="3" s="1"/>
  <c r="E95" i="3"/>
  <c r="F95" i="3" s="1"/>
  <c r="E96" i="3"/>
  <c r="F96" i="3" s="1"/>
  <c r="E97" i="3"/>
  <c r="F97" i="3" s="1"/>
  <c r="E98" i="3"/>
  <c r="F98" i="3" s="1"/>
  <c r="E99" i="3"/>
  <c r="E100" i="3"/>
  <c r="E101" i="3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E108" i="3"/>
  <c r="E109" i="3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E116" i="3"/>
  <c r="E117" i="3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E124" i="3"/>
  <c r="E125" i="3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E132" i="3"/>
  <c r="E133" i="3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E140" i="3"/>
  <c r="E141" i="3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E148" i="3"/>
  <c r="E149" i="3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E156" i="3"/>
  <c r="E157" i="3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E164" i="3"/>
  <c r="E165" i="3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E172" i="3"/>
  <c r="E173" i="3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E181" i="3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E188" i="3"/>
  <c r="E189" i="3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E196" i="3"/>
  <c r="E197" i="3"/>
  <c r="E198" i="3"/>
  <c r="F198" i="3" s="1"/>
  <c r="E199" i="3"/>
  <c r="F199" i="3" s="1"/>
  <c r="E200" i="3"/>
  <c r="F200" i="3" s="1"/>
  <c r="E201" i="3"/>
  <c r="F201" i="3" s="1"/>
  <c r="E202" i="3"/>
  <c r="F202" i="3" s="1"/>
  <c r="E203" i="3"/>
  <c r="E204" i="3"/>
  <c r="E205" i="3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E212" i="3"/>
  <c r="E213" i="3"/>
  <c r="E214" i="3"/>
  <c r="F214" i="3" s="1"/>
  <c r="E215" i="3"/>
  <c r="F215" i="3" s="1"/>
  <c r="E216" i="3"/>
  <c r="F216" i="3" s="1"/>
  <c r="E217" i="3"/>
  <c r="F217" i="3" s="1"/>
  <c r="F3" i="3"/>
  <c r="F4" i="3"/>
  <c r="F5" i="3"/>
  <c r="F11" i="3"/>
  <c r="F12" i="3"/>
  <c r="F13" i="3"/>
  <c r="F19" i="3"/>
  <c r="F20" i="3"/>
  <c r="F21" i="3"/>
  <c r="F27" i="3"/>
  <c r="F28" i="3"/>
  <c r="F29" i="3"/>
  <c r="F35" i="3"/>
  <c r="F36" i="3"/>
  <c r="F37" i="3"/>
  <c r="F43" i="3"/>
  <c r="F44" i="3"/>
  <c r="F45" i="3"/>
  <c r="F51" i="3"/>
  <c r="F52" i="3"/>
  <c r="F53" i="3"/>
  <c r="F59" i="3"/>
  <c r="F60" i="3"/>
  <c r="F61" i="3"/>
  <c r="F67" i="3"/>
  <c r="F68" i="3"/>
  <c r="F69" i="3"/>
  <c r="F75" i="3"/>
  <c r="F76" i="3"/>
  <c r="F77" i="3"/>
  <c r="F83" i="3"/>
  <c r="F84" i="3"/>
  <c r="F85" i="3"/>
  <c r="F91" i="3"/>
  <c r="F92" i="3"/>
  <c r="F93" i="3"/>
  <c r="F99" i="3"/>
  <c r="F100" i="3"/>
  <c r="F101" i="3"/>
  <c r="F107" i="3"/>
  <c r="F108" i="3"/>
  <c r="F109" i="3"/>
  <c r="F115" i="3"/>
  <c r="F116" i="3"/>
  <c r="F117" i="3"/>
  <c r="F123" i="3"/>
  <c r="F124" i="3"/>
  <c r="F125" i="3"/>
  <c r="F131" i="3"/>
  <c r="F132" i="3"/>
  <c r="F133" i="3"/>
  <c r="F139" i="3"/>
  <c r="F140" i="3"/>
  <c r="F141" i="3"/>
  <c r="F147" i="3"/>
  <c r="F148" i="3"/>
  <c r="F149" i="3"/>
  <c r="F155" i="3"/>
  <c r="F156" i="3"/>
  <c r="F157" i="3"/>
  <c r="F163" i="3"/>
  <c r="F164" i="3"/>
  <c r="F165" i="3"/>
  <c r="F171" i="3"/>
  <c r="F172" i="3"/>
  <c r="F173" i="3"/>
  <c r="F180" i="3"/>
  <c r="F181" i="3"/>
  <c r="F187" i="3"/>
  <c r="F188" i="3"/>
  <c r="F189" i="3"/>
  <c r="F195" i="3"/>
  <c r="F196" i="3"/>
  <c r="F197" i="3"/>
  <c r="F203" i="3"/>
  <c r="F204" i="3"/>
  <c r="F205" i="3"/>
  <c r="F211" i="3"/>
  <c r="F212" i="3"/>
  <c r="F213" i="3"/>
  <c r="F2" i="3"/>
  <c r="E2" i="3"/>
  <c r="O3" i="2"/>
  <c r="P3" i="2" s="1"/>
  <c r="Q3" i="2" s="1"/>
  <c r="I3" i="1" s="1"/>
  <c r="O4" i="2"/>
  <c r="P4" i="2" s="1"/>
  <c r="Q4" i="2" s="1"/>
  <c r="I4" i="1" s="1"/>
  <c r="O5" i="2"/>
  <c r="P5" i="2" s="1"/>
  <c r="Q5" i="2" s="1"/>
  <c r="I5" i="1" s="1"/>
  <c r="O6" i="2"/>
  <c r="P6" i="2" s="1"/>
  <c r="Q6" i="2" s="1"/>
  <c r="I6" i="1" s="1"/>
  <c r="O7" i="2"/>
  <c r="P7" i="2"/>
  <c r="Q7" i="2" s="1"/>
  <c r="I7" i="1" s="1"/>
  <c r="O8" i="2"/>
  <c r="P8" i="2" s="1"/>
  <c r="Q8" i="2" s="1"/>
  <c r="I8" i="1" s="1"/>
  <c r="O9" i="2"/>
  <c r="P9" i="2" s="1"/>
  <c r="Q9" i="2" s="1"/>
  <c r="I9" i="1" s="1"/>
  <c r="O10" i="2"/>
  <c r="P10" i="2" s="1"/>
  <c r="Q10" i="2" s="1"/>
  <c r="O11" i="2"/>
  <c r="P11" i="2" s="1"/>
  <c r="Q11" i="2" s="1"/>
  <c r="I11" i="1" s="1"/>
  <c r="O12" i="2"/>
  <c r="P12" i="2" s="1"/>
  <c r="Q12" i="2" s="1"/>
  <c r="I12" i="1" s="1"/>
  <c r="O13" i="2"/>
  <c r="P13" i="2" s="1"/>
  <c r="Q13" i="2" s="1"/>
  <c r="I13" i="1" s="1"/>
  <c r="O14" i="2"/>
  <c r="P14" i="2" s="1"/>
  <c r="Q14" i="2" s="1"/>
  <c r="I14" i="1" s="1"/>
  <c r="O15" i="2"/>
  <c r="P15" i="2" s="1"/>
  <c r="Q15" i="2" s="1"/>
  <c r="I15" i="1" s="1"/>
  <c r="O16" i="2"/>
  <c r="P16" i="2" s="1"/>
  <c r="Q16" i="2" s="1"/>
  <c r="I16" i="1" s="1"/>
  <c r="O17" i="2"/>
  <c r="P17" i="2" s="1"/>
  <c r="Q17" i="2" s="1"/>
  <c r="I17" i="1" s="1"/>
  <c r="O18" i="2"/>
  <c r="P18" i="2" s="1"/>
  <c r="Q18" i="2" s="1"/>
  <c r="O19" i="2"/>
  <c r="P19" i="2" s="1"/>
  <c r="Q19" i="2" s="1"/>
  <c r="I19" i="1" s="1"/>
  <c r="O20" i="2"/>
  <c r="P20" i="2" s="1"/>
  <c r="Q20" i="2" s="1"/>
  <c r="I20" i="1" s="1"/>
  <c r="O21" i="2"/>
  <c r="P21" i="2" s="1"/>
  <c r="Q21" i="2" s="1"/>
  <c r="I21" i="1" s="1"/>
  <c r="O22" i="2"/>
  <c r="P22" i="2" s="1"/>
  <c r="Q22" i="2" s="1"/>
  <c r="I22" i="1" s="1"/>
  <c r="O23" i="2"/>
  <c r="P23" i="2" s="1"/>
  <c r="Q23" i="2" s="1"/>
  <c r="I23" i="1" s="1"/>
  <c r="O24" i="2"/>
  <c r="P24" i="2" s="1"/>
  <c r="Q24" i="2" s="1"/>
  <c r="I24" i="1" s="1"/>
  <c r="O25" i="2"/>
  <c r="P25" i="2" s="1"/>
  <c r="Q25" i="2" s="1"/>
  <c r="I25" i="1" s="1"/>
  <c r="O26" i="2"/>
  <c r="P26" i="2" s="1"/>
  <c r="Q26" i="2" s="1"/>
  <c r="O27" i="2"/>
  <c r="P27" i="2" s="1"/>
  <c r="Q27" i="2" s="1"/>
  <c r="I27" i="1" s="1"/>
  <c r="O28" i="2"/>
  <c r="P28" i="2" s="1"/>
  <c r="Q28" i="2" s="1"/>
  <c r="I28" i="1" s="1"/>
  <c r="O29" i="2"/>
  <c r="P29" i="2" s="1"/>
  <c r="Q29" i="2" s="1"/>
  <c r="I29" i="1" s="1"/>
  <c r="O30" i="2"/>
  <c r="P30" i="2" s="1"/>
  <c r="Q30" i="2" s="1"/>
  <c r="I30" i="1" s="1"/>
  <c r="O31" i="2"/>
  <c r="P31" i="2" s="1"/>
  <c r="Q31" i="2" s="1"/>
  <c r="I31" i="1" s="1"/>
  <c r="O32" i="2"/>
  <c r="P32" i="2" s="1"/>
  <c r="Q32" i="2" s="1"/>
  <c r="I32" i="1" s="1"/>
  <c r="O33" i="2"/>
  <c r="P33" i="2" s="1"/>
  <c r="Q33" i="2" s="1"/>
  <c r="I33" i="1" s="1"/>
  <c r="O34" i="2"/>
  <c r="P34" i="2" s="1"/>
  <c r="Q34" i="2" s="1"/>
  <c r="O35" i="2"/>
  <c r="P35" i="2" s="1"/>
  <c r="Q35" i="2" s="1"/>
  <c r="I35" i="1" s="1"/>
  <c r="O36" i="2"/>
  <c r="P36" i="2" s="1"/>
  <c r="Q36" i="2" s="1"/>
  <c r="I36" i="1" s="1"/>
  <c r="O37" i="2"/>
  <c r="P37" i="2" s="1"/>
  <c r="Q37" i="2" s="1"/>
  <c r="I37" i="1" s="1"/>
  <c r="O38" i="2"/>
  <c r="P38" i="2" s="1"/>
  <c r="Q38" i="2" s="1"/>
  <c r="I38" i="1" s="1"/>
  <c r="O39" i="2"/>
  <c r="P39" i="2" s="1"/>
  <c r="Q39" i="2" s="1"/>
  <c r="I39" i="1" s="1"/>
  <c r="O40" i="2"/>
  <c r="P40" i="2" s="1"/>
  <c r="Q40" i="2" s="1"/>
  <c r="I40" i="1" s="1"/>
  <c r="O41" i="2"/>
  <c r="P41" i="2" s="1"/>
  <c r="Q41" i="2" s="1"/>
  <c r="I41" i="1" s="1"/>
  <c r="O42" i="2"/>
  <c r="P42" i="2" s="1"/>
  <c r="Q42" i="2" s="1"/>
  <c r="O43" i="2"/>
  <c r="P43" i="2" s="1"/>
  <c r="Q43" i="2" s="1"/>
  <c r="I43" i="1" s="1"/>
  <c r="O44" i="2"/>
  <c r="P44" i="2" s="1"/>
  <c r="Q44" i="2" s="1"/>
  <c r="I44" i="1" s="1"/>
  <c r="O45" i="2"/>
  <c r="P45" i="2" s="1"/>
  <c r="Q45" i="2" s="1"/>
  <c r="I45" i="1" s="1"/>
  <c r="O46" i="2"/>
  <c r="P46" i="2" s="1"/>
  <c r="Q46" i="2" s="1"/>
  <c r="I46" i="1" s="1"/>
  <c r="O47" i="2"/>
  <c r="P47" i="2" s="1"/>
  <c r="Q47" i="2" s="1"/>
  <c r="I47" i="1" s="1"/>
  <c r="O48" i="2"/>
  <c r="P48" i="2" s="1"/>
  <c r="Q48" i="2" s="1"/>
  <c r="I48" i="1" s="1"/>
  <c r="O49" i="2"/>
  <c r="P49" i="2" s="1"/>
  <c r="Q49" i="2" s="1"/>
  <c r="I49" i="1" s="1"/>
  <c r="O50" i="2"/>
  <c r="P50" i="2" s="1"/>
  <c r="Q50" i="2" s="1"/>
  <c r="O51" i="2"/>
  <c r="P51" i="2" s="1"/>
  <c r="Q51" i="2" s="1"/>
  <c r="I51" i="1" s="1"/>
  <c r="O52" i="2"/>
  <c r="P52" i="2" s="1"/>
  <c r="Q52" i="2" s="1"/>
  <c r="I52" i="1" s="1"/>
  <c r="O53" i="2"/>
  <c r="P53" i="2" s="1"/>
  <c r="Q53" i="2" s="1"/>
  <c r="I53" i="1" s="1"/>
  <c r="O54" i="2"/>
  <c r="P54" i="2" s="1"/>
  <c r="Q54" i="2" s="1"/>
  <c r="I54" i="1" s="1"/>
  <c r="O55" i="2"/>
  <c r="P55" i="2" s="1"/>
  <c r="Q55" i="2" s="1"/>
  <c r="I55" i="1" s="1"/>
  <c r="O56" i="2"/>
  <c r="P56" i="2" s="1"/>
  <c r="Q56" i="2" s="1"/>
  <c r="I56" i="1" s="1"/>
  <c r="O57" i="2"/>
  <c r="P57" i="2" s="1"/>
  <c r="Q57" i="2" s="1"/>
  <c r="I57" i="1" s="1"/>
  <c r="O58" i="2"/>
  <c r="P58" i="2" s="1"/>
  <c r="Q58" i="2" s="1"/>
  <c r="O59" i="2"/>
  <c r="P59" i="2" s="1"/>
  <c r="Q59" i="2" s="1"/>
  <c r="I59" i="1" s="1"/>
  <c r="O60" i="2"/>
  <c r="P60" i="2" s="1"/>
  <c r="Q60" i="2" s="1"/>
  <c r="I60" i="1" s="1"/>
  <c r="O61" i="2"/>
  <c r="P61" i="2" s="1"/>
  <c r="Q61" i="2" s="1"/>
  <c r="I61" i="1" s="1"/>
  <c r="O62" i="2"/>
  <c r="P62" i="2" s="1"/>
  <c r="Q62" i="2" s="1"/>
  <c r="I62" i="1" s="1"/>
  <c r="O63" i="2"/>
  <c r="P63" i="2" s="1"/>
  <c r="Q63" i="2" s="1"/>
  <c r="I63" i="1" s="1"/>
  <c r="O64" i="2"/>
  <c r="P64" i="2" s="1"/>
  <c r="Q64" i="2" s="1"/>
  <c r="I64" i="1" s="1"/>
  <c r="O65" i="2"/>
  <c r="P65" i="2" s="1"/>
  <c r="Q65" i="2" s="1"/>
  <c r="I65" i="1" s="1"/>
  <c r="O66" i="2"/>
  <c r="P66" i="2" s="1"/>
  <c r="Q66" i="2" s="1"/>
  <c r="O67" i="2"/>
  <c r="P67" i="2" s="1"/>
  <c r="Q67" i="2" s="1"/>
  <c r="I67" i="1" s="1"/>
  <c r="O68" i="2"/>
  <c r="P68" i="2" s="1"/>
  <c r="Q68" i="2" s="1"/>
  <c r="I68" i="1" s="1"/>
  <c r="O69" i="2"/>
  <c r="P69" i="2" s="1"/>
  <c r="Q69" i="2" s="1"/>
  <c r="I69" i="1" s="1"/>
  <c r="O70" i="2"/>
  <c r="P70" i="2" s="1"/>
  <c r="Q70" i="2" s="1"/>
  <c r="I70" i="1" s="1"/>
  <c r="O71" i="2"/>
  <c r="P71" i="2" s="1"/>
  <c r="Q71" i="2" s="1"/>
  <c r="I71" i="1" s="1"/>
  <c r="O72" i="2"/>
  <c r="P72" i="2" s="1"/>
  <c r="Q72" i="2" s="1"/>
  <c r="I72" i="1" s="1"/>
  <c r="O73" i="2"/>
  <c r="P73" i="2" s="1"/>
  <c r="Q73" i="2" s="1"/>
  <c r="I73" i="1" s="1"/>
  <c r="O74" i="2"/>
  <c r="P74" i="2" s="1"/>
  <c r="Q74" i="2" s="1"/>
  <c r="O75" i="2"/>
  <c r="P75" i="2" s="1"/>
  <c r="Q75" i="2" s="1"/>
  <c r="I75" i="1" s="1"/>
  <c r="O76" i="2"/>
  <c r="P76" i="2" s="1"/>
  <c r="Q76" i="2" s="1"/>
  <c r="I76" i="1" s="1"/>
  <c r="O77" i="2"/>
  <c r="P77" i="2" s="1"/>
  <c r="Q77" i="2" s="1"/>
  <c r="I77" i="1" s="1"/>
  <c r="O78" i="2"/>
  <c r="P78" i="2" s="1"/>
  <c r="Q78" i="2" s="1"/>
  <c r="I78" i="1" s="1"/>
  <c r="O79" i="2"/>
  <c r="P79" i="2" s="1"/>
  <c r="Q79" i="2" s="1"/>
  <c r="I79" i="1" s="1"/>
  <c r="O80" i="2"/>
  <c r="P80" i="2" s="1"/>
  <c r="Q80" i="2" s="1"/>
  <c r="I80" i="1" s="1"/>
  <c r="O81" i="2"/>
  <c r="P81" i="2" s="1"/>
  <c r="Q81" i="2" s="1"/>
  <c r="I81" i="1" s="1"/>
  <c r="O82" i="2"/>
  <c r="P82" i="2" s="1"/>
  <c r="Q82" i="2" s="1"/>
  <c r="O83" i="2"/>
  <c r="P83" i="2" s="1"/>
  <c r="Q83" i="2" s="1"/>
  <c r="I83" i="1" s="1"/>
  <c r="O84" i="2"/>
  <c r="P84" i="2" s="1"/>
  <c r="Q84" i="2" s="1"/>
  <c r="I84" i="1" s="1"/>
  <c r="O85" i="2"/>
  <c r="P85" i="2" s="1"/>
  <c r="Q85" i="2" s="1"/>
  <c r="I85" i="1" s="1"/>
  <c r="O86" i="2"/>
  <c r="P86" i="2" s="1"/>
  <c r="Q86" i="2" s="1"/>
  <c r="I86" i="1" s="1"/>
  <c r="O87" i="2"/>
  <c r="P87" i="2" s="1"/>
  <c r="Q87" i="2" s="1"/>
  <c r="I87" i="1" s="1"/>
  <c r="O88" i="2"/>
  <c r="P88" i="2" s="1"/>
  <c r="Q88" i="2" s="1"/>
  <c r="I88" i="1" s="1"/>
  <c r="O89" i="2"/>
  <c r="P89" i="2" s="1"/>
  <c r="Q89" i="2" s="1"/>
  <c r="I89" i="1" s="1"/>
  <c r="O90" i="2"/>
  <c r="P90" i="2" s="1"/>
  <c r="Q90" i="2" s="1"/>
  <c r="O91" i="2"/>
  <c r="P91" i="2" s="1"/>
  <c r="Q91" i="2" s="1"/>
  <c r="I91" i="1" s="1"/>
  <c r="O92" i="2"/>
  <c r="P92" i="2" s="1"/>
  <c r="Q92" i="2" s="1"/>
  <c r="I92" i="1" s="1"/>
  <c r="O93" i="2"/>
  <c r="P93" i="2" s="1"/>
  <c r="Q93" i="2" s="1"/>
  <c r="I93" i="1" s="1"/>
  <c r="O94" i="2"/>
  <c r="P94" i="2" s="1"/>
  <c r="Q94" i="2" s="1"/>
  <c r="I94" i="1" s="1"/>
  <c r="O95" i="2"/>
  <c r="P95" i="2" s="1"/>
  <c r="Q95" i="2" s="1"/>
  <c r="I95" i="1" s="1"/>
  <c r="O96" i="2"/>
  <c r="P96" i="2" s="1"/>
  <c r="Q96" i="2" s="1"/>
  <c r="I96" i="1" s="1"/>
  <c r="O97" i="2"/>
  <c r="P97" i="2" s="1"/>
  <c r="Q97" i="2" s="1"/>
  <c r="I97" i="1" s="1"/>
  <c r="O98" i="2"/>
  <c r="P98" i="2" s="1"/>
  <c r="Q98" i="2" s="1"/>
  <c r="O99" i="2"/>
  <c r="P99" i="2" s="1"/>
  <c r="Q99" i="2" s="1"/>
  <c r="I99" i="1" s="1"/>
  <c r="O100" i="2"/>
  <c r="P100" i="2" s="1"/>
  <c r="Q100" i="2" s="1"/>
  <c r="I100" i="1" s="1"/>
  <c r="O101" i="2"/>
  <c r="P101" i="2" s="1"/>
  <c r="Q101" i="2" s="1"/>
  <c r="I101" i="1" s="1"/>
  <c r="O102" i="2"/>
  <c r="P102" i="2" s="1"/>
  <c r="Q102" i="2" s="1"/>
  <c r="I102" i="1" s="1"/>
  <c r="O103" i="2"/>
  <c r="P103" i="2" s="1"/>
  <c r="Q103" i="2" s="1"/>
  <c r="I103" i="1" s="1"/>
  <c r="O104" i="2"/>
  <c r="P104" i="2" s="1"/>
  <c r="Q104" i="2" s="1"/>
  <c r="I104" i="1" s="1"/>
  <c r="O105" i="2"/>
  <c r="P105" i="2" s="1"/>
  <c r="Q105" i="2" s="1"/>
  <c r="I105" i="1" s="1"/>
  <c r="O106" i="2"/>
  <c r="P106" i="2" s="1"/>
  <c r="Q106" i="2" s="1"/>
  <c r="O107" i="2"/>
  <c r="P107" i="2" s="1"/>
  <c r="Q107" i="2" s="1"/>
  <c r="I107" i="1" s="1"/>
  <c r="O108" i="2"/>
  <c r="P108" i="2" s="1"/>
  <c r="Q108" i="2" s="1"/>
  <c r="I108" i="1" s="1"/>
  <c r="O109" i="2"/>
  <c r="P109" i="2" s="1"/>
  <c r="Q109" i="2" s="1"/>
  <c r="I109" i="1" s="1"/>
  <c r="O110" i="2"/>
  <c r="P110" i="2" s="1"/>
  <c r="Q110" i="2" s="1"/>
  <c r="I110" i="1" s="1"/>
  <c r="O111" i="2"/>
  <c r="P111" i="2" s="1"/>
  <c r="Q111" i="2" s="1"/>
  <c r="I111" i="1" s="1"/>
  <c r="O112" i="2"/>
  <c r="P112" i="2" s="1"/>
  <c r="Q112" i="2" s="1"/>
  <c r="I112" i="1" s="1"/>
  <c r="O113" i="2"/>
  <c r="P113" i="2" s="1"/>
  <c r="Q113" i="2" s="1"/>
  <c r="I113" i="1" s="1"/>
  <c r="O114" i="2"/>
  <c r="P114" i="2" s="1"/>
  <c r="Q114" i="2" s="1"/>
  <c r="O115" i="2"/>
  <c r="P115" i="2" s="1"/>
  <c r="Q115" i="2" s="1"/>
  <c r="I115" i="1" s="1"/>
  <c r="O116" i="2"/>
  <c r="P116" i="2" s="1"/>
  <c r="Q116" i="2" s="1"/>
  <c r="I116" i="1" s="1"/>
  <c r="O117" i="2"/>
  <c r="P117" i="2" s="1"/>
  <c r="Q117" i="2" s="1"/>
  <c r="I117" i="1" s="1"/>
  <c r="O118" i="2"/>
  <c r="P118" i="2" s="1"/>
  <c r="Q118" i="2" s="1"/>
  <c r="I118" i="1" s="1"/>
  <c r="O119" i="2"/>
  <c r="P119" i="2" s="1"/>
  <c r="Q119" i="2" s="1"/>
  <c r="I119" i="1" s="1"/>
  <c r="O120" i="2"/>
  <c r="P120" i="2" s="1"/>
  <c r="Q120" i="2" s="1"/>
  <c r="I120" i="1" s="1"/>
  <c r="O121" i="2"/>
  <c r="P121" i="2" s="1"/>
  <c r="Q121" i="2" s="1"/>
  <c r="I121" i="1" s="1"/>
  <c r="O122" i="2"/>
  <c r="P122" i="2" s="1"/>
  <c r="Q122" i="2" s="1"/>
  <c r="O123" i="2"/>
  <c r="P123" i="2" s="1"/>
  <c r="Q123" i="2" s="1"/>
  <c r="I123" i="1" s="1"/>
  <c r="O124" i="2"/>
  <c r="P124" i="2" s="1"/>
  <c r="Q124" i="2" s="1"/>
  <c r="I124" i="1" s="1"/>
  <c r="O125" i="2"/>
  <c r="P125" i="2" s="1"/>
  <c r="Q125" i="2" s="1"/>
  <c r="I125" i="1" s="1"/>
  <c r="O126" i="2"/>
  <c r="P126" i="2" s="1"/>
  <c r="Q126" i="2" s="1"/>
  <c r="I126" i="1" s="1"/>
  <c r="O127" i="2"/>
  <c r="P127" i="2" s="1"/>
  <c r="Q127" i="2" s="1"/>
  <c r="I127" i="1" s="1"/>
  <c r="O128" i="2"/>
  <c r="P128" i="2" s="1"/>
  <c r="Q128" i="2" s="1"/>
  <c r="I128" i="1" s="1"/>
  <c r="O129" i="2"/>
  <c r="P129" i="2" s="1"/>
  <c r="Q129" i="2" s="1"/>
  <c r="I129" i="1" s="1"/>
  <c r="O130" i="2"/>
  <c r="P130" i="2" s="1"/>
  <c r="Q130" i="2" s="1"/>
  <c r="O131" i="2"/>
  <c r="P131" i="2" s="1"/>
  <c r="Q131" i="2" s="1"/>
  <c r="I131" i="1" s="1"/>
  <c r="O132" i="2"/>
  <c r="P132" i="2" s="1"/>
  <c r="Q132" i="2" s="1"/>
  <c r="I132" i="1" s="1"/>
  <c r="O133" i="2"/>
  <c r="P133" i="2" s="1"/>
  <c r="Q133" i="2" s="1"/>
  <c r="I133" i="1" s="1"/>
  <c r="O134" i="2"/>
  <c r="P134" i="2" s="1"/>
  <c r="Q134" i="2" s="1"/>
  <c r="I134" i="1" s="1"/>
  <c r="O135" i="2"/>
  <c r="P135" i="2" s="1"/>
  <c r="Q135" i="2" s="1"/>
  <c r="I135" i="1" s="1"/>
  <c r="O136" i="2"/>
  <c r="P136" i="2" s="1"/>
  <c r="Q136" i="2" s="1"/>
  <c r="I136" i="1" s="1"/>
  <c r="O137" i="2"/>
  <c r="P137" i="2" s="1"/>
  <c r="Q137" i="2" s="1"/>
  <c r="I137" i="1" s="1"/>
  <c r="O138" i="2"/>
  <c r="P138" i="2" s="1"/>
  <c r="Q138" i="2" s="1"/>
  <c r="O139" i="2"/>
  <c r="P139" i="2" s="1"/>
  <c r="Q139" i="2" s="1"/>
  <c r="I139" i="1" s="1"/>
  <c r="O140" i="2"/>
  <c r="P140" i="2" s="1"/>
  <c r="Q140" i="2" s="1"/>
  <c r="I140" i="1" s="1"/>
  <c r="O141" i="2"/>
  <c r="P141" i="2" s="1"/>
  <c r="Q141" i="2" s="1"/>
  <c r="I141" i="1" s="1"/>
  <c r="O142" i="2"/>
  <c r="P142" i="2" s="1"/>
  <c r="Q142" i="2" s="1"/>
  <c r="I142" i="1" s="1"/>
  <c r="O143" i="2"/>
  <c r="P143" i="2" s="1"/>
  <c r="Q143" i="2" s="1"/>
  <c r="I143" i="1" s="1"/>
  <c r="O144" i="2"/>
  <c r="P144" i="2" s="1"/>
  <c r="Q144" i="2" s="1"/>
  <c r="I144" i="1" s="1"/>
  <c r="O145" i="2"/>
  <c r="P145" i="2" s="1"/>
  <c r="Q145" i="2" s="1"/>
  <c r="I145" i="1" s="1"/>
  <c r="O146" i="2"/>
  <c r="P146" i="2" s="1"/>
  <c r="Q146" i="2" s="1"/>
  <c r="O147" i="2"/>
  <c r="P147" i="2" s="1"/>
  <c r="Q147" i="2" s="1"/>
  <c r="I147" i="1" s="1"/>
  <c r="O148" i="2"/>
  <c r="P148" i="2" s="1"/>
  <c r="Q148" i="2" s="1"/>
  <c r="I148" i="1" s="1"/>
  <c r="O149" i="2"/>
  <c r="P149" i="2" s="1"/>
  <c r="Q149" i="2" s="1"/>
  <c r="I149" i="1" s="1"/>
  <c r="O150" i="2"/>
  <c r="P150" i="2" s="1"/>
  <c r="Q150" i="2" s="1"/>
  <c r="I150" i="1" s="1"/>
  <c r="O151" i="2"/>
  <c r="P151" i="2" s="1"/>
  <c r="Q151" i="2" s="1"/>
  <c r="I151" i="1" s="1"/>
  <c r="O152" i="2"/>
  <c r="P152" i="2" s="1"/>
  <c r="Q152" i="2" s="1"/>
  <c r="I152" i="1" s="1"/>
  <c r="O153" i="2"/>
  <c r="P153" i="2" s="1"/>
  <c r="Q153" i="2" s="1"/>
  <c r="I153" i="1" s="1"/>
  <c r="O154" i="2"/>
  <c r="P154" i="2" s="1"/>
  <c r="Q154" i="2" s="1"/>
  <c r="O155" i="2"/>
  <c r="P155" i="2" s="1"/>
  <c r="Q155" i="2" s="1"/>
  <c r="I155" i="1" s="1"/>
  <c r="O156" i="2"/>
  <c r="P156" i="2" s="1"/>
  <c r="Q156" i="2" s="1"/>
  <c r="I156" i="1" s="1"/>
  <c r="O157" i="2"/>
  <c r="P157" i="2" s="1"/>
  <c r="Q157" i="2" s="1"/>
  <c r="I157" i="1" s="1"/>
  <c r="O158" i="2"/>
  <c r="P158" i="2" s="1"/>
  <c r="Q158" i="2" s="1"/>
  <c r="I158" i="1" s="1"/>
  <c r="O159" i="2"/>
  <c r="P159" i="2" s="1"/>
  <c r="Q159" i="2" s="1"/>
  <c r="I159" i="1" s="1"/>
  <c r="O160" i="2"/>
  <c r="P160" i="2" s="1"/>
  <c r="Q160" i="2" s="1"/>
  <c r="I160" i="1" s="1"/>
  <c r="O161" i="2"/>
  <c r="P161" i="2" s="1"/>
  <c r="Q161" i="2" s="1"/>
  <c r="I161" i="1" s="1"/>
  <c r="O162" i="2"/>
  <c r="P162" i="2" s="1"/>
  <c r="Q162" i="2" s="1"/>
  <c r="O163" i="2"/>
  <c r="P163" i="2" s="1"/>
  <c r="Q163" i="2" s="1"/>
  <c r="I163" i="1" s="1"/>
  <c r="O164" i="2"/>
  <c r="P164" i="2" s="1"/>
  <c r="Q164" i="2" s="1"/>
  <c r="I164" i="1" s="1"/>
  <c r="O165" i="2"/>
  <c r="P165" i="2" s="1"/>
  <c r="Q165" i="2" s="1"/>
  <c r="I165" i="1" s="1"/>
  <c r="O166" i="2"/>
  <c r="P166" i="2" s="1"/>
  <c r="Q166" i="2" s="1"/>
  <c r="I166" i="1" s="1"/>
  <c r="O167" i="2"/>
  <c r="P167" i="2" s="1"/>
  <c r="Q167" i="2" s="1"/>
  <c r="I167" i="1" s="1"/>
  <c r="O168" i="2"/>
  <c r="P168" i="2" s="1"/>
  <c r="Q168" i="2" s="1"/>
  <c r="I168" i="1" s="1"/>
  <c r="O169" i="2"/>
  <c r="P169" i="2" s="1"/>
  <c r="Q169" i="2" s="1"/>
  <c r="I169" i="1" s="1"/>
  <c r="O170" i="2"/>
  <c r="P170" i="2" s="1"/>
  <c r="Q170" i="2" s="1"/>
  <c r="O171" i="2"/>
  <c r="P171" i="2" s="1"/>
  <c r="Q171" i="2" s="1"/>
  <c r="I171" i="1" s="1"/>
  <c r="O172" i="2"/>
  <c r="P172" i="2" s="1"/>
  <c r="Q172" i="2" s="1"/>
  <c r="I172" i="1" s="1"/>
  <c r="O173" i="2"/>
  <c r="P173" i="2" s="1"/>
  <c r="Q173" i="2" s="1"/>
  <c r="I173" i="1" s="1"/>
  <c r="O174" i="2"/>
  <c r="P174" i="2" s="1"/>
  <c r="Q174" i="2" s="1"/>
  <c r="I174" i="1" s="1"/>
  <c r="O175" i="2"/>
  <c r="P175" i="2" s="1"/>
  <c r="Q175" i="2" s="1"/>
  <c r="I175" i="1" s="1"/>
  <c r="O176" i="2"/>
  <c r="P176" i="2" s="1"/>
  <c r="Q176" i="2" s="1"/>
  <c r="I176" i="1" s="1"/>
  <c r="O177" i="2"/>
  <c r="P177" i="2" s="1"/>
  <c r="Q177" i="2" s="1"/>
  <c r="I177" i="1" s="1"/>
  <c r="O178" i="2"/>
  <c r="P178" i="2" s="1"/>
  <c r="Q178" i="2" s="1"/>
  <c r="O179" i="2"/>
  <c r="P179" i="2" s="1"/>
  <c r="Q179" i="2" s="1"/>
  <c r="I179" i="1" s="1"/>
  <c r="O180" i="2"/>
  <c r="P180" i="2" s="1"/>
  <c r="Q180" i="2" s="1"/>
  <c r="I180" i="1" s="1"/>
  <c r="O181" i="2"/>
  <c r="P181" i="2" s="1"/>
  <c r="Q181" i="2" s="1"/>
  <c r="I181" i="1" s="1"/>
  <c r="O182" i="2"/>
  <c r="P182" i="2" s="1"/>
  <c r="Q182" i="2" s="1"/>
  <c r="I182" i="1" s="1"/>
  <c r="O183" i="2"/>
  <c r="P183" i="2" s="1"/>
  <c r="Q183" i="2" s="1"/>
  <c r="I183" i="1" s="1"/>
  <c r="O184" i="2"/>
  <c r="P184" i="2" s="1"/>
  <c r="Q184" i="2" s="1"/>
  <c r="I184" i="1" s="1"/>
  <c r="O185" i="2"/>
  <c r="P185" i="2" s="1"/>
  <c r="Q185" i="2" s="1"/>
  <c r="I185" i="1" s="1"/>
  <c r="O186" i="2"/>
  <c r="P186" i="2" s="1"/>
  <c r="Q186" i="2" s="1"/>
  <c r="O187" i="2"/>
  <c r="P187" i="2" s="1"/>
  <c r="Q187" i="2" s="1"/>
  <c r="I187" i="1" s="1"/>
  <c r="O188" i="2"/>
  <c r="P188" i="2" s="1"/>
  <c r="Q188" i="2" s="1"/>
  <c r="I188" i="1" s="1"/>
  <c r="O189" i="2"/>
  <c r="P189" i="2" s="1"/>
  <c r="Q189" i="2" s="1"/>
  <c r="I189" i="1" s="1"/>
  <c r="O190" i="2"/>
  <c r="P190" i="2" s="1"/>
  <c r="Q190" i="2" s="1"/>
  <c r="I190" i="1" s="1"/>
  <c r="O191" i="2"/>
  <c r="P191" i="2" s="1"/>
  <c r="Q191" i="2" s="1"/>
  <c r="I191" i="1" s="1"/>
  <c r="O192" i="2"/>
  <c r="P192" i="2" s="1"/>
  <c r="Q192" i="2" s="1"/>
  <c r="I192" i="1" s="1"/>
  <c r="O193" i="2"/>
  <c r="P193" i="2" s="1"/>
  <c r="Q193" i="2" s="1"/>
  <c r="I193" i="1" s="1"/>
  <c r="O194" i="2"/>
  <c r="P194" i="2" s="1"/>
  <c r="Q194" i="2" s="1"/>
  <c r="O195" i="2"/>
  <c r="P195" i="2" s="1"/>
  <c r="Q195" i="2" s="1"/>
  <c r="I195" i="1" s="1"/>
  <c r="O196" i="2"/>
  <c r="P196" i="2" s="1"/>
  <c r="Q196" i="2" s="1"/>
  <c r="I196" i="1" s="1"/>
  <c r="O197" i="2"/>
  <c r="P197" i="2" s="1"/>
  <c r="Q197" i="2" s="1"/>
  <c r="I197" i="1" s="1"/>
  <c r="O198" i="2"/>
  <c r="P198" i="2" s="1"/>
  <c r="Q198" i="2" s="1"/>
  <c r="I198" i="1" s="1"/>
  <c r="O199" i="2"/>
  <c r="P199" i="2" s="1"/>
  <c r="Q199" i="2" s="1"/>
  <c r="I199" i="1" s="1"/>
  <c r="O200" i="2"/>
  <c r="P200" i="2" s="1"/>
  <c r="Q200" i="2" s="1"/>
  <c r="I200" i="1" s="1"/>
  <c r="O201" i="2"/>
  <c r="P201" i="2" s="1"/>
  <c r="Q201" i="2" s="1"/>
  <c r="I201" i="1" s="1"/>
  <c r="O202" i="2"/>
  <c r="P202" i="2" s="1"/>
  <c r="Q202" i="2" s="1"/>
  <c r="O203" i="2"/>
  <c r="P203" i="2" s="1"/>
  <c r="Q203" i="2" s="1"/>
  <c r="I203" i="1" s="1"/>
  <c r="O204" i="2"/>
  <c r="P204" i="2" s="1"/>
  <c r="Q204" i="2" s="1"/>
  <c r="I204" i="1" s="1"/>
  <c r="O205" i="2"/>
  <c r="P205" i="2" s="1"/>
  <c r="Q205" i="2" s="1"/>
  <c r="I205" i="1" s="1"/>
  <c r="O206" i="2"/>
  <c r="P206" i="2" s="1"/>
  <c r="Q206" i="2" s="1"/>
  <c r="I206" i="1" s="1"/>
  <c r="O207" i="2"/>
  <c r="P207" i="2" s="1"/>
  <c r="Q207" i="2" s="1"/>
  <c r="I207" i="1" s="1"/>
  <c r="O208" i="2"/>
  <c r="P208" i="2" s="1"/>
  <c r="Q208" i="2" s="1"/>
  <c r="I208" i="1" s="1"/>
  <c r="O209" i="2"/>
  <c r="P209" i="2" s="1"/>
  <c r="Q209" i="2" s="1"/>
  <c r="I209" i="1" s="1"/>
  <c r="O210" i="2"/>
  <c r="P210" i="2"/>
  <c r="Q210" i="2" s="1"/>
  <c r="O211" i="2"/>
  <c r="P211" i="2" s="1"/>
  <c r="Q211" i="2" s="1"/>
  <c r="I211" i="1" s="1"/>
  <c r="O212" i="2"/>
  <c r="P212" i="2" s="1"/>
  <c r="Q212" i="2" s="1"/>
  <c r="I212" i="1" s="1"/>
  <c r="O213" i="2"/>
  <c r="P213" i="2" s="1"/>
  <c r="Q213" i="2" s="1"/>
  <c r="I213" i="1" s="1"/>
  <c r="O214" i="2"/>
  <c r="P214" i="2" s="1"/>
  <c r="Q214" i="2" s="1"/>
  <c r="I214" i="1" s="1"/>
  <c r="O215" i="2"/>
  <c r="P215" i="2" s="1"/>
  <c r="Q215" i="2" s="1"/>
  <c r="I215" i="1" s="1"/>
  <c r="O216" i="2"/>
  <c r="P216" i="2" s="1"/>
  <c r="Q216" i="2" s="1"/>
  <c r="I216" i="1" s="1"/>
  <c r="O217" i="2"/>
  <c r="P217" i="2" s="1"/>
  <c r="Q217" i="2" s="1"/>
  <c r="I217" i="1" s="1"/>
  <c r="O2" i="2"/>
  <c r="P2" i="2" s="1"/>
  <c r="Q2" i="2" s="1"/>
  <c r="I2" i="1" s="1"/>
  <c r="I210" i="1" l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</calcChain>
</file>

<file path=xl/sharedStrings.xml><?xml version="1.0" encoding="utf-8"?>
<sst xmlns="http://schemas.openxmlformats.org/spreadsheetml/2006/main" count="8332" uniqueCount="877">
  <si>
    <t>Fellow First</t>
  </si>
  <si>
    <t>Fellow Last</t>
  </si>
  <si>
    <t>Fellow Email</t>
  </si>
  <si>
    <t>TA Name</t>
  </si>
  <si>
    <t>CSC Name</t>
  </si>
  <si>
    <t>Country</t>
  </si>
  <si>
    <t>Aastha</t>
  </si>
  <si>
    <t>Sharma</t>
  </si>
  <si>
    <t>email1@gmail.com</t>
  </si>
  <si>
    <t>Stephen</t>
  </si>
  <si>
    <t>Katie</t>
  </si>
  <si>
    <t>Canada</t>
  </si>
  <si>
    <t>Afreen</t>
  </si>
  <si>
    <t>Dhamija</t>
  </si>
  <si>
    <t>email2@gmail.com</t>
  </si>
  <si>
    <t>David</t>
  </si>
  <si>
    <t>Megan</t>
  </si>
  <si>
    <t>Aidan</t>
  </si>
  <si>
    <t>Hopkins</t>
  </si>
  <si>
    <t>email3@gmail.com</t>
  </si>
  <si>
    <t>United States</t>
  </si>
  <si>
    <t>Alazim</t>
  </si>
  <si>
    <t>Odu</t>
  </si>
  <si>
    <t>email4@gmail.com</t>
  </si>
  <si>
    <t>Marsia</t>
  </si>
  <si>
    <t>Alex</t>
  </si>
  <si>
    <t>Munoz</t>
  </si>
  <si>
    <t>email5@gmail.com</t>
  </si>
  <si>
    <t>Alfred</t>
  </si>
  <si>
    <t>Thompson</t>
  </si>
  <si>
    <t>email6@gmail.com</t>
  </si>
  <si>
    <t>Alicia</t>
  </si>
  <si>
    <t>Feliciano</t>
  </si>
  <si>
    <t>email7@gmail.com</t>
  </si>
  <si>
    <t>Damita</t>
  </si>
  <si>
    <t>Allen</t>
  </si>
  <si>
    <t>Saputra</t>
  </si>
  <si>
    <t>email8@gmail.com</t>
  </si>
  <si>
    <t>Arshdeep</t>
  </si>
  <si>
    <t>Danielle</t>
  </si>
  <si>
    <t>Alma</t>
  </si>
  <si>
    <t>Castaneda</t>
  </si>
  <si>
    <t>email9@gmail.com</t>
  </si>
  <si>
    <t>Nicole</t>
  </si>
  <si>
    <t>Alvin</t>
  </si>
  <si>
    <t>Duong</t>
  </si>
  <si>
    <t>email10@gmail.com</t>
  </si>
  <si>
    <t>Krunalkumar</t>
  </si>
  <si>
    <t>Amanda</t>
  </si>
  <si>
    <t>Khokhar</t>
  </si>
  <si>
    <t>email11@gmail.com</t>
  </si>
  <si>
    <t>Alexis</t>
  </si>
  <si>
    <t>Ana</t>
  </si>
  <si>
    <t>Rodriguez</t>
  </si>
  <si>
    <t>email12@gmail.com</t>
  </si>
  <si>
    <t>Suarez</t>
  </si>
  <si>
    <t>email13@gmail.com</t>
  </si>
  <si>
    <t>Jean</t>
  </si>
  <si>
    <t>Andres</t>
  </si>
  <si>
    <t>Contreras</t>
  </si>
  <si>
    <t>email14@gmail.com</t>
  </si>
  <si>
    <t>Anna</t>
  </si>
  <si>
    <t>Dixon</t>
  </si>
  <si>
    <t>email15@gmail.com</t>
  </si>
  <si>
    <t>Antrena</t>
  </si>
  <si>
    <t>Howell</t>
  </si>
  <si>
    <t>email16@gmail.com</t>
  </si>
  <si>
    <t>Antwain M</t>
  </si>
  <si>
    <t>Griffin Jr</t>
  </si>
  <si>
    <t>email17@gmail.com</t>
  </si>
  <si>
    <t>Ariel</t>
  </si>
  <si>
    <t>Castillo</t>
  </si>
  <si>
    <t>email18@gmail.com</t>
  </si>
  <si>
    <t>Amaya</t>
  </si>
  <si>
    <t>email19@gmail.com</t>
  </si>
  <si>
    <t>Ashita</t>
  </si>
  <si>
    <t>Masih</t>
  </si>
  <si>
    <t>email20@gmail.com</t>
  </si>
  <si>
    <t>Christopher</t>
  </si>
  <si>
    <t>Asok</t>
  </si>
  <si>
    <t>Mahr</t>
  </si>
  <si>
    <t>email21@gmail.com</t>
  </si>
  <si>
    <t>Aviaan</t>
  </si>
  <si>
    <t>Danclar</t>
  </si>
  <si>
    <t>email22@gmail.com</t>
  </si>
  <si>
    <t>Bei</t>
  </si>
  <si>
    <t>Chhaihlo</t>
  </si>
  <si>
    <t>email23@gmail.com</t>
  </si>
  <si>
    <t>Bianca</t>
  </si>
  <si>
    <t>Mendez</t>
  </si>
  <si>
    <t>email24@gmail.com</t>
  </si>
  <si>
    <t>Blake</t>
  </si>
  <si>
    <t>Kramer</t>
  </si>
  <si>
    <t>email25@gmail.com</t>
  </si>
  <si>
    <t>Braden</t>
  </si>
  <si>
    <t>Parks</t>
  </si>
  <si>
    <t>email26@gmail.com</t>
  </si>
  <si>
    <t>Brandi</t>
  </si>
  <si>
    <t>Richardson</t>
  </si>
  <si>
    <t>email27@gmail.com</t>
  </si>
  <si>
    <t>Brandon</t>
  </si>
  <si>
    <t>Fragoso</t>
  </si>
  <si>
    <t>email28@gmail.com</t>
  </si>
  <si>
    <t>Brian</t>
  </si>
  <si>
    <t>Acosta-Trejo</t>
  </si>
  <si>
    <t>email29@gmail.com</t>
  </si>
  <si>
    <t>Caleb</t>
  </si>
  <si>
    <t>Baxter</t>
  </si>
  <si>
    <t>email30@gmail.com</t>
  </si>
  <si>
    <t>Chris</t>
  </si>
  <si>
    <t>Sagandoy</t>
  </si>
  <si>
    <t>email31@gmail.com</t>
  </si>
  <si>
    <t>Martin Del Campo</t>
  </si>
  <si>
    <t>email32@gmail.com</t>
  </si>
  <si>
    <t>Cipriana</t>
  </si>
  <si>
    <t>Lopez</t>
  </si>
  <si>
    <t>email33@gmail.com</t>
  </si>
  <si>
    <t>Claude</t>
  </si>
  <si>
    <t>Dennis</t>
  </si>
  <si>
    <t>email34@gmail.com</t>
  </si>
  <si>
    <t>Claudia</t>
  </si>
  <si>
    <t>Trousdale</t>
  </si>
  <si>
    <t>email35@gmail.com</t>
  </si>
  <si>
    <t>Cristian</t>
  </si>
  <si>
    <t>email36@gmail.com</t>
  </si>
  <si>
    <t>Dale Ii</t>
  </si>
  <si>
    <t>Calderon</t>
  </si>
  <si>
    <t>email37@gmail.com</t>
  </si>
  <si>
    <t>Daniel</t>
  </si>
  <si>
    <t>Novak</t>
  </si>
  <si>
    <t>email38@gmail.com</t>
  </si>
  <si>
    <t>Moreno</t>
  </si>
  <si>
    <t>email39@gmail.com</t>
  </si>
  <si>
    <t>Tello</t>
  </si>
  <si>
    <t>email40@gmail.com</t>
  </si>
  <si>
    <t>Daquan</t>
  </si>
  <si>
    <t>Oliver</t>
  </si>
  <si>
    <t>email41@gmail.com</t>
  </si>
  <si>
    <t>Debbie</t>
  </si>
  <si>
    <t>Quarterman-Williams</t>
  </si>
  <si>
    <t>email42@gmail.com</t>
  </si>
  <si>
    <t>Demetra</t>
  </si>
  <si>
    <t>Randolph</t>
  </si>
  <si>
    <t>email43@gmail.com</t>
  </si>
  <si>
    <t>Deontae</t>
  </si>
  <si>
    <t>House</t>
  </si>
  <si>
    <t>email44@gmail.com</t>
  </si>
  <si>
    <t>Derick</t>
  </si>
  <si>
    <t>Wilson</t>
  </si>
  <si>
    <t>email45@gmail.com</t>
  </si>
  <si>
    <t>Deryk</t>
  </si>
  <si>
    <t>Cabrera</t>
  </si>
  <si>
    <t>email46@gmail.com</t>
  </si>
  <si>
    <t>Destaney</t>
  </si>
  <si>
    <t>Goolsby</t>
  </si>
  <si>
    <t>email47@gmail.com</t>
  </si>
  <si>
    <t>Devashish</t>
  </si>
  <si>
    <t>Munjpara</t>
  </si>
  <si>
    <t>email48@gmail.com</t>
  </si>
  <si>
    <t>Devonte'</t>
  </si>
  <si>
    <t>Brown</t>
  </si>
  <si>
    <t>email49@gmail.com</t>
  </si>
  <si>
    <t>Dominick</t>
  </si>
  <si>
    <t>Balius</t>
  </si>
  <si>
    <t>email50@gmail.com</t>
  </si>
  <si>
    <t>Doy</t>
  </si>
  <si>
    <t>Arches</t>
  </si>
  <si>
    <t>email51@gmail.com</t>
  </si>
  <si>
    <t>Dre</t>
  </si>
  <si>
    <t>Productions</t>
  </si>
  <si>
    <t>email52@gmail.com</t>
  </si>
  <si>
    <t>Dustin</t>
  </si>
  <si>
    <t>Newman</t>
  </si>
  <si>
    <t>email53@gmail.com</t>
  </si>
  <si>
    <t>Efren</t>
  </si>
  <si>
    <t>email54@gmail.com</t>
  </si>
  <si>
    <t>Elias</t>
  </si>
  <si>
    <t>Vungaray</t>
  </si>
  <si>
    <t>email55@gmail.com</t>
  </si>
  <si>
    <t>Elizabeth</t>
  </si>
  <si>
    <t>Cervantes</t>
  </si>
  <si>
    <t>email56@gmail.com</t>
  </si>
  <si>
    <t>Enoch</t>
  </si>
  <si>
    <t>Mccoy Jr.</t>
  </si>
  <si>
    <t>email57@gmail.com</t>
  </si>
  <si>
    <t>Eric</t>
  </si>
  <si>
    <t>Owusu</t>
  </si>
  <si>
    <t>email58@gmail.com</t>
  </si>
  <si>
    <t>Erick</t>
  </si>
  <si>
    <t>Reyes</t>
  </si>
  <si>
    <t>email59@gmail.com</t>
  </si>
  <si>
    <t>Erika</t>
  </si>
  <si>
    <t>Alaniz</t>
  </si>
  <si>
    <t>email60@gmail.com</t>
  </si>
  <si>
    <t>Erin</t>
  </si>
  <si>
    <t>Lapira</t>
  </si>
  <si>
    <t>email61@gmail.com</t>
  </si>
  <si>
    <t>Fadi</t>
  </si>
  <si>
    <t>El Awad</t>
  </si>
  <si>
    <t>email62@gmail.com</t>
  </si>
  <si>
    <t>Felix</t>
  </si>
  <si>
    <t>Melendez</t>
  </si>
  <si>
    <t>email63@gmail.com</t>
  </si>
  <si>
    <t>Francisco</t>
  </si>
  <si>
    <t>Pantaleon</t>
  </si>
  <si>
    <t>email64@gmail.com</t>
  </si>
  <si>
    <t>Fredrick</t>
  </si>
  <si>
    <t>Damons</t>
  </si>
  <si>
    <t>email65@gmail.com</t>
  </si>
  <si>
    <t>Gabriel</t>
  </si>
  <si>
    <t>Nicholas</t>
  </si>
  <si>
    <t>email66@gmail.com</t>
  </si>
  <si>
    <t>Gary</t>
  </si>
  <si>
    <t>Rhodes</t>
  </si>
  <si>
    <t>email67@gmail.com</t>
  </si>
  <si>
    <t>Genieva</t>
  </si>
  <si>
    <t>Carr-Freeman</t>
  </si>
  <si>
    <t>email68@gmail.com</t>
  </si>
  <si>
    <t>Gerardo</t>
  </si>
  <si>
    <t>Gonzalez</t>
  </si>
  <si>
    <t>email69@gmail.com</t>
  </si>
  <si>
    <t>Gilberto</t>
  </si>
  <si>
    <t>Aguilar</t>
  </si>
  <si>
    <t>email70@gmail.com</t>
  </si>
  <si>
    <t>Guisell</t>
  </si>
  <si>
    <t>Molina</t>
  </si>
  <si>
    <t>email71@gmail.com</t>
  </si>
  <si>
    <t>Gurjinder</t>
  </si>
  <si>
    <t>Singh</t>
  </si>
  <si>
    <t>email72@gmail.com</t>
  </si>
  <si>
    <t>Happii</t>
  </si>
  <si>
    <t>Lotus</t>
  </si>
  <si>
    <t>email73@gmail.com</t>
  </si>
  <si>
    <t>Harinder Pal</t>
  </si>
  <si>
    <t>Joshi</t>
  </si>
  <si>
    <t>email74@gmail.com</t>
  </si>
  <si>
    <t>Harleen</t>
  </si>
  <si>
    <t>Kaur</t>
  </si>
  <si>
    <t>email75@gmail.com</t>
  </si>
  <si>
    <t>Harpal</t>
  </si>
  <si>
    <t>email76@gmail.com</t>
  </si>
  <si>
    <t>Harpreet</t>
  </si>
  <si>
    <t>Sidhu</t>
  </si>
  <si>
    <t>email77@gmail.com</t>
  </si>
  <si>
    <t>Johal</t>
  </si>
  <si>
    <t>email78@gmail.com</t>
  </si>
  <si>
    <t>Harvey</t>
  </si>
  <si>
    <t>Pigrum</t>
  </si>
  <si>
    <t>email79@gmail.com</t>
  </si>
  <si>
    <t>Hicham</t>
  </si>
  <si>
    <t>Achrait</t>
  </si>
  <si>
    <t>email80@gmail.com</t>
  </si>
  <si>
    <t>Ibrahim</t>
  </si>
  <si>
    <t>Kandeh</t>
  </si>
  <si>
    <t>email81@gmail.com</t>
  </si>
  <si>
    <t>Ilya</t>
  </si>
  <si>
    <t>Hurrell</t>
  </si>
  <si>
    <t>email82@gmail.com</t>
  </si>
  <si>
    <t>Irais</t>
  </si>
  <si>
    <t>Rubio Vega</t>
  </si>
  <si>
    <t>email83@gmail.com</t>
  </si>
  <si>
    <t>Isaac</t>
  </si>
  <si>
    <t>email84@gmail.com</t>
  </si>
  <si>
    <t>Iyahna</t>
  </si>
  <si>
    <t>email85@gmail.com</t>
  </si>
  <si>
    <t>Jade</t>
  </si>
  <si>
    <t>Akande</t>
  </si>
  <si>
    <t>email86@gmail.com</t>
  </si>
  <si>
    <t>Jake</t>
  </si>
  <si>
    <t>Booth</t>
  </si>
  <si>
    <t>email87@gmail.com</t>
  </si>
  <si>
    <t>James</t>
  </si>
  <si>
    <t>Smiley</t>
  </si>
  <si>
    <t>email88@gmail.com</t>
  </si>
  <si>
    <t>Javier</t>
  </si>
  <si>
    <t>Gomez</t>
  </si>
  <si>
    <t>email89@gmail.com</t>
  </si>
  <si>
    <t>Jeffrey</t>
  </si>
  <si>
    <t>Belidor</t>
  </si>
  <si>
    <t>email90@gmail.com</t>
  </si>
  <si>
    <t>Jeran</t>
  </si>
  <si>
    <t>Merritt</t>
  </si>
  <si>
    <t>email91@gmail.com</t>
  </si>
  <si>
    <t>Jerry</t>
  </si>
  <si>
    <t>Jerz</t>
  </si>
  <si>
    <t>email92@gmail.com</t>
  </si>
  <si>
    <t>Jesse</t>
  </si>
  <si>
    <t>Espinoza</t>
  </si>
  <si>
    <t>email93@gmail.com</t>
  </si>
  <si>
    <t>Jessica</t>
  </si>
  <si>
    <t>Faber</t>
  </si>
  <si>
    <t>email94@gmail.com</t>
  </si>
  <si>
    <t>Jesus</t>
  </si>
  <si>
    <t>Ortiz</t>
  </si>
  <si>
    <t>email95@gmail.com</t>
  </si>
  <si>
    <t>Jimbo</t>
  </si>
  <si>
    <t>Jim</t>
  </si>
  <si>
    <t>email96@gmail.com</t>
  </si>
  <si>
    <t>Joakhim</t>
  </si>
  <si>
    <t>Hounkpe</t>
  </si>
  <si>
    <t>email97@gmail.com</t>
  </si>
  <si>
    <t>Joey</t>
  </si>
  <si>
    <t>Perez</t>
  </si>
  <si>
    <t>email98@gmail.com</t>
  </si>
  <si>
    <t>John</t>
  </si>
  <si>
    <t>B</t>
  </si>
  <si>
    <t>email99@gmail.com</t>
  </si>
  <si>
    <t>White</t>
  </si>
  <si>
    <t>email100@gmail.com</t>
  </si>
  <si>
    <t>Johnna</t>
  </si>
  <si>
    <t>Morris</t>
  </si>
  <si>
    <t>email101@gmail.com</t>
  </si>
  <si>
    <t>Jordan</t>
  </si>
  <si>
    <t>Salinas</t>
  </si>
  <si>
    <t>email102@gmail.com</t>
  </si>
  <si>
    <t>Chattman</t>
  </si>
  <si>
    <t>email103@gmail.com</t>
  </si>
  <si>
    <t>Jordyn</t>
  </si>
  <si>
    <t>Reddic</t>
  </si>
  <si>
    <t>email104@gmail.com</t>
  </si>
  <si>
    <t>Jorge</t>
  </si>
  <si>
    <t>Vera</t>
  </si>
  <si>
    <t>email105@gmail.com</t>
  </si>
  <si>
    <t>Jorgeanne</t>
  </si>
  <si>
    <t>email106@gmail.com</t>
  </si>
  <si>
    <t>Jose</t>
  </si>
  <si>
    <t>Valentin</t>
  </si>
  <si>
    <t>email107@gmail.com</t>
  </si>
  <si>
    <t>Celio</t>
  </si>
  <si>
    <t>email108@gmail.com</t>
  </si>
  <si>
    <t>Josue</t>
  </si>
  <si>
    <t>Arceo</t>
  </si>
  <si>
    <t>email109@gmail.com</t>
  </si>
  <si>
    <t>Kamalpreet</t>
  </si>
  <si>
    <t>email110@gmail.com</t>
  </si>
  <si>
    <t>Kamonte</t>
  </si>
  <si>
    <t>Lesher</t>
  </si>
  <si>
    <t>email111@gmail.com</t>
  </si>
  <si>
    <t>Karanbir Singh</t>
  </si>
  <si>
    <t>Sandhu</t>
  </si>
  <si>
    <t>email112@gmail.com</t>
  </si>
  <si>
    <t>Karina</t>
  </si>
  <si>
    <t>Villalobos</t>
  </si>
  <si>
    <t>email113@gmail.com</t>
  </si>
  <si>
    <t>Kendrick</t>
  </si>
  <si>
    <t>Rogers</t>
  </si>
  <si>
    <t>email114@gmail.com</t>
  </si>
  <si>
    <t>Kenneth</t>
  </si>
  <si>
    <t>Dezurn</t>
  </si>
  <si>
    <t>email115@gmail.com</t>
  </si>
  <si>
    <t>Lam</t>
  </si>
  <si>
    <t>email116@gmail.com</t>
  </si>
  <si>
    <t>Medlin Iii</t>
  </si>
  <si>
    <t>email117@gmail.com</t>
  </si>
  <si>
    <t>Kevin</t>
  </si>
  <si>
    <t>Johnson</t>
  </si>
  <si>
    <t>email118@gmail.com</t>
  </si>
  <si>
    <t>Keyla</t>
  </si>
  <si>
    <t>Figueredo</t>
  </si>
  <si>
    <t>email119@gmail.com</t>
  </si>
  <si>
    <t>Khurram</t>
  </si>
  <si>
    <t>Ali</t>
  </si>
  <si>
    <t>email120@gmail.com</t>
  </si>
  <si>
    <t>Kortni</t>
  </si>
  <si>
    <t>Williams</t>
  </si>
  <si>
    <t>email121@gmail.com</t>
  </si>
  <si>
    <t>Kozy</t>
  </si>
  <si>
    <t>Montana</t>
  </si>
  <si>
    <t>email122@gmail.com</t>
  </si>
  <si>
    <t>La'Dasia</t>
  </si>
  <si>
    <t>email123@gmail.com</t>
  </si>
  <si>
    <t>Lemmy</t>
  </si>
  <si>
    <t>Hernandez</t>
  </si>
  <si>
    <t>email124@gmail.com</t>
  </si>
  <si>
    <t>Leonard</t>
  </si>
  <si>
    <t>Shorter</t>
  </si>
  <si>
    <t>email125@gmail.com</t>
  </si>
  <si>
    <t>Lexxus</t>
  </si>
  <si>
    <t>King</t>
  </si>
  <si>
    <t>email126@gmail.com</t>
  </si>
  <si>
    <t>Louise</t>
  </si>
  <si>
    <t>Chan</t>
  </si>
  <si>
    <t>email127@gmail.com</t>
  </si>
  <si>
    <t>Luis</t>
  </si>
  <si>
    <t>Enriquez-Miranda</t>
  </si>
  <si>
    <t>email128@gmail.com</t>
  </si>
  <si>
    <t>Cruz</t>
  </si>
  <si>
    <t>email129@gmail.com</t>
  </si>
  <si>
    <t>Malik</t>
  </si>
  <si>
    <t>Scott</t>
  </si>
  <si>
    <t>email130@gmail.com</t>
  </si>
  <si>
    <t>Mallori</t>
  </si>
  <si>
    <t>Alabastro</t>
  </si>
  <si>
    <t>email131@gmail.com</t>
  </si>
  <si>
    <t>Maria</t>
  </si>
  <si>
    <t>Sandoval</t>
  </si>
  <si>
    <t>email132@gmail.com</t>
  </si>
  <si>
    <t>Maria Elena</t>
  </si>
  <si>
    <t>Valencia</t>
  </si>
  <si>
    <t>email133@gmail.com</t>
  </si>
  <si>
    <t>Marissa</t>
  </si>
  <si>
    <t>Baldazo</t>
  </si>
  <si>
    <t>email134@gmail.com</t>
  </si>
  <si>
    <t>Mark Anthony</t>
  </si>
  <si>
    <t>Canete</t>
  </si>
  <si>
    <t>email135@gmail.com</t>
  </si>
  <si>
    <t>Marki</t>
  </si>
  <si>
    <t>Mark</t>
  </si>
  <si>
    <t>email136@gmail.com</t>
  </si>
  <si>
    <t>Marko</t>
  </si>
  <si>
    <t>Lukic</t>
  </si>
  <si>
    <t>email137@gmail.com</t>
  </si>
  <si>
    <t>Marta</t>
  </si>
  <si>
    <t>Mendoza</t>
  </si>
  <si>
    <t>email138@gmail.com</t>
  </si>
  <si>
    <t>Maulan</t>
  </si>
  <si>
    <t>email139@gmail.com</t>
  </si>
  <si>
    <t>Mehak</t>
  </si>
  <si>
    <t>Singla</t>
  </si>
  <si>
    <t>email140@gmail.com</t>
  </si>
  <si>
    <t>Merle</t>
  </si>
  <si>
    <t>Taylor</t>
  </si>
  <si>
    <t>email141@gmail.com</t>
  </si>
  <si>
    <t>Merlyn</t>
  </si>
  <si>
    <t>Leon</t>
  </si>
  <si>
    <t>email142@gmail.com</t>
  </si>
  <si>
    <t>Michael</t>
  </si>
  <si>
    <t>Hamilton</t>
  </si>
  <si>
    <t>email143@gmail.com</t>
  </si>
  <si>
    <t>Mitcham</t>
  </si>
  <si>
    <t>email144@gmail.com</t>
  </si>
  <si>
    <t>Mohamed L</t>
  </si>
  <si>
    <t>El Hmidi</t>
  </si>
  <si>
    <t>email145@gmail.com</t>
  </si>
  <si>
    <t>Mohammed</t>
  </si>
  <si>
    <t>Khalil</t>
  </si>
  <si>
    <t>email146@gmail.com</t>
  </si>
  <si>
    <t>Muhammad</t>
  </si>
  <si>
    <t>Ayubia</t>
  </si>
  <si>
    <t>email147@gmail.com</t>
  </si>
  <si>
    <t>Nadege</t>
  </si>
  <si>
    <t>Kamavuako</t>
  </si>
  <si>
    <t>email148@gmail.com</t>
  </si>
  <si>
    <t>Nikul</t>
  </si>
  <si>
    <t>Patel</t>
  </si>
  <si>
    <t>email149@gmail.com</t>
  </si>
  <si>
    <t>Nora</t>
  </si>
  <si>
    <t>email150@gmail.com</t>
  </si>
  <si>
    <t>Okpidama</t>
  </si>
  <si>
    <t>Orode</t>
  </si>
  <si>
    <t>email151@gmail.com</t>
  </si>
  <si>
    <t>Osasuehi</t>
  </si>
  <si>
    <t>Ehigiator</t>
  </si>
  <si>
    <t>email152@gmail.com</t>
  </si>
  <si>
    <t>Paramjeet</t>
  </si>
  <si>
    <t>Sanger</t>
  </si>
  <si>
    <t>email153@gmail.com</t>
  </si>
  <si>
    <t>Patricia</t>
  </si>
  <si>
    <t>Bliss</t>
  </si>
  <si>
    <t>email154@gmail.com</t>
  </si>
  <si>
    <t>Patrick</t>
  </si>
  <si>
    <t>Dizon</t>
  </si>
  <si>
    <t>email155@gmail.com</t>
  </si>
  <si>
    <t>Paulette</t>
  </si>
  <si>
    <t>Hargrave</t>
  </si>
  <si>
    <t>email156@gmail.com</t>
  </si>
  <si>
    <t>Peta-Gaye</t>
  </si>
  <si>
    <t>Bennett</t>
  </si>
  <si>
    <t>email157@gmail.com</t>
  </si>
  <si>
    <t>Prince</t>
  </si>
  <si>
    <t>Dominic</t>
  </si>
  <si>
    <t>email158@gmail.com</t>
  </si>
  <si>
    <t>Priscilla</t>
  </si>
  <si>
    <t>Disla</t>
  </si>
  <si>
    <t>email159@gmail.com</t>
  </si>
  <si>
    <t>Punita</t>
  </si>
  <si>
    <t>Chaudhary</t>
  </si>
  <si>
    <t>email160@gmail.com</t>
  </si>
  <si>
    <t>Raija</t>
  </si>
  <si>
    <t>email161@gmail.com</t>
  </si>
  <si>
    <t>Raja</t>
  </si>
  <si>
    <t>Mekonnin</t>
  </si>
  <si>
    <t>email162@gmail.com</t>
  </si>
  <si>
    <t>Ravi</t>
  </si>
  <si>
    <t>Dhingra</t>
  </si>
  <si>
    <t>email163@gmail.com</t>
  </si>
  <si>
    <t>Ray</t>
  </si>
  <si>
    <t>Alexander</t>
  </si>
  <si>
    <t>email164@gmail.com</t>
  </si>
  <si>
    <t>Ricardo</t>
  </si>
  <si>
    <t>Sousa</t>
  </si>
  <si>
    <t>email165@gmail.com</t>
  </si>
  <si>
    <t>Rita</t>
  </si>
  <si>
    <t>email166@gmail.com</t>
  </si>
  <si>
    <t>Ruben</t>
  </si>
  <si>
    <t>Medina</t>
  </si>
  <si>
    <t>email167@gmail.com</t>
  </si>
  <si>
    <t>Ryan</t>
  </si>
  <si>
    <t>Tidwell</t>
  </si>
  <si>
    <t>email168@gmail.com</t>
  </si>
  <si>
    <t>Wirth</t>
  </si>
  <si>
    <t>email169@gmail.com</t>
  </si>
  <si>
    <t>S</t>
  </si>
  <si>
    <t>Mosley</t>
  </si>
  <si>
    <t>email170@gmail.com</t>
  </si>
  <si>
    <t>Sagar</t>
  </si>
  <si>
    <t>Chouhan</t>
  </si>
  <si>
    <t>email171@gmail.com</t>
  </si>
  <si>
    <t>Sam</t>
  </si>
  <si>
    <t>email172@gmail.com</t>
  </si>
  <si>
    <t>Santosh</t>
  </si>
  <si>
    <t>Kumari</t>
  </si>
  <si>
    <t>email173@gmail.com</t>
  </si>
  <si>
    <t>Sarann</t>
  </si>
  <si>
    <t>Ros</t>
  </si>
  <si>
    <t>email174@gmail.com</t>
  </si>
  <si>
    <t>Sargie337</t>
  </si>
  <si>
    <t>Sarsha_X</t>
  </si>
  <si>
    <t>email175@gmail.com</t>
  </si>
  <si>
    <t>Sebastian</t>
  </si>
  <si>
    <t>Ramos</t>
  </si>
  <si>
    <t>email176@gmail.com</t>
  </si>
  <si>
    <t>Senthuran</t>
  </si>
  <si>
    <t>Maheswaran</t>
  </si>
  <si>
    <t>email177@gmail.com</t>
  </si>
  <si>
    <t>Serge</t>
  </si>
  <si>
    <t>Kilolo</t>
  </si>
  <si>
    <t>email178@gmail.com</t>
  </si>
  <si>
    <t>Seth</t>
  </si>
  <si>
    <t>Caraballo</t>
  </si>
  <si>
    <t>email179@gmail.com</t>
  </si>
  <si>
    <t>Shahri</t>
  </si>
  <si>
    <t>Mallabo</t>
  </si>
  <si>
    <t>email180@gmail.com</t>
  </si>
  <si>
    <t>Shailendra</t>
  </si>
  <si>
    <t>Chauhan</t>
  </si>
  <si>
    <t>email181@gmail.com</t>
  </si>
  <si>
    <t>Shakecia</t>
  </si>
  <si>
    <t>Brooken</t>
  </si>
  <si>
    <t>email182@gmail.com</t>
  </si>
  <si>
    <t>Shakima</t>
  </si>
  <si>
    <t>email183@gmail.com</t>
  </si>
  <si>
    <t>Shefali</t>
  </si>
  <si>
    <t>Gupta</t>
  </si>
  <si>
    <t>email184@gmail.com</t>
  </si>
  <si>
    <t>Sher</t>
  </si>
  <si>
    <t>Chowdhury</t>
  </si>
  <si>
    <t>email185@gmail.com</t>
  </si>
  <si>
    <t>Shunba</t>
  </si>
  <si>
    <t>May</t>
  </si>
  <si>
    <t>email186@gmail.com</t>
  </si>
  <si>
    <t>Silas</t>
  </si>
  <si>
    <t>Shakya</t>
  </si>
  <si>
    <t>email187@gmail.com</t>
  </si>
  <si>
    <t>Simranjeet</t>
  </si>
  <si>
    <t>email188@gmail.com</t>
  </si>
  <si>
    <t>Solyda</t>
  </si>
  <si>
    <t>Soum</t>
  </si>
  <si>
    <t>email189@gmail.com</t>
  </si>
  <si>
    <t>Stacey</t>
  </si>
  <si>
    <t>Mitchell</t>
  </si>
  <si>
    <t>email190@gmail.com</t>
  </si>
  <si>
    <t>Steven</t>
  </si>
  <si>
    <t>Nguyen</t>
  </si>
  <si>
    <t>email191@gmail.com</t>
  </si>
  <si>
    <t>Sudesh</t>
  </si>
  <si>
    <t>Rani</t>
  </si>
  <si>
    <t>email192@gmail.com</t>
  </si>
  <si>
    <t>Tamia</t>
  </si>
  <si>
    <t>email193@gmail.com</t>
  </si>
  <si>
    <t>Terrell</t>
  </si>
  <si>
    <t>Jackson</t>
  </si>
  <si>
    <t>email194@gmail.com</t>
  </si>
  <si>
    <t>Terrence</t>
  </si>
  <si>
    <t>Alford</t>
  </si>
  <si>
    <t>email195@gmail.com</t>
  </si>
  <si>
    <t>Tiara</t>
  </si>
  <si>
    <t>Kelly</t>
  </si>
  <si>
    <t>email196@gmail.com</t>
  </si>
  <si>
    <t>Tiffany</t>
  </si>
  <si>
    <t>email197@gmail.com</t>
  </si>
  <si>
    <t>Whigham</t>
  </si>
  <si>
    <t>email198@gmail.com</t>
  </si>
  <si>
    <t>Gonyaw</t>
  </si>
  <si>
    <t>email199@gmail.com</t>
  </si>
  <si>
    <t>Timothy</t>
  </si>
  <si>
    <t>Banda</t>
  </si>
  <si>
    <t>email200@gmail.com</t>
  </si>
  <si>
    <t>email201@gmail.com</t>
  </si>
  <si>
    <t>Tonisha</t>
  </si>
  <si>
    <t>Green</t>
  </si>
  <si>
    <t>email202@gmail.com</t>
  </si>
  <si>
    <t>Urusha</t>
  </si>
  <si>
    <t>Maharjan</t>
  </si>
  <si>
    <t>email203@gmail.com</t>
  </si>
  <si>
    <t>Vanessa</t>
  </si>
  <si>
    <t>Lerma</t>
  </si>
  <si>
    <t>email204@gmail.com</t>
  </si>
  <si>
    <t>Waseak</t>
  </si>
  <si>
    <t>Wadud</t>
  </si>
  <si>
    <t>email205@gmail.com</t>
  </si>
  <si>
    <t>Will</t>
  </si>
  <si>
    <t>Whyte Iii</t>
  </si>
  <si>
    <t>email206@gmail.com</t>
  </si>
  <si>
    <t>Winfred</t>
  </si>
  <si>
    <t>Chandler</t>
  </si>
  <si>
    <t>email207@gmail.com</t>
  </si>
  <si>
    <t>Xavier</t>
  </si>
  <si>
    <t>Nava</t>
  </si>
  <si>
    <t>email208@gmail.com</t>
  </si>
  <si>
    <t>Yesenia</t>
  </si>
  <si>
    <t>Andrade</t>
  </si>
  <si>
    <t>email209@gmail.com</t>
  </si>
  <si>
    <t>Yeshna</t>
  </si>
  <si>
    <t>email210@gmail.com</t>
  </si>
  <si>
    <t>Yongyi</t>
  </si>
  <si>
    <t>Shen</t>
  </si>
  <si>
    <t>email211@gmail.com</t>
  </si>
  <si>
    <t>Youssef</t>
  </si>
  <si>
    <t>El Fekri</t>
  </si>
  <si>
    <t>email212@gmail.com</t>
  </si>
  <si>
    <t>Arouif</t>
  </si>
  <si>
    <t>email213@gmail.com</t>
  </si>
  <si>
    <t>Yulanda</t>
  </si>
  <si>
    <t>Foye</t>
  </si>
  <si>
    <t>email214@gmail.com</t>
  </si>
  <si>
    <t>Yvonne</t>
  </si>
  <si>
    <t>Adams</t>
  </si>
  <si>
    <t>email215@gmail.com</t>
  </si>
  <si>
    <t>Zhanai</t>
  </si>
  <si>
    <t>Height</t>
  </si>
  <si>
    <t>email216@gmail.com</t>
  </si>
  <si>
    <t>Fellow Name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</si>
  <si>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</si>
  <si>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</si>
  <si>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</si>
  <si>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</si>
  <si>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</si>
  <si>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</si>
  <si>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</si>
  <si>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</si>
  <si>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</si>
  <si>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</si>
  <si>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</si>
  <si>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</si>
  <si>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Kenneth Medlin Iii</t>
  </si>
  <si>
    <t>Present</t>
  </si>
  <si>
    <t>Absent</t>
  </si>
  <si>
    <t>Fadi El Awad</t>
  </si>
  <si>
    <t>Christopher Martin Del Campo</t>
  </si>
  <si>
    <t>Brandi Richardson</t>
  </si>
  <si>
    <t>Kamalpreet Kaur</t>
  </si>
  <si>
    <t>Ana Suarez</t>
  </si>
  <si>
    <t>Yesenia Andrade</t>
  </si>
  <si>
    <t>Leonard Shorter</t>
  </si>
  <si>
    <t>Simranjeet Kaur</t>
  </si>
  <si>
    <t>Seth Caraballo</t>
  </si>
  <si>
    <t>Ricardo Sousa</t>
  </si>
  <si>
    <t>Ravi Dhingra</t>
  </si>
  <si>
    <t>John White</t>
  </si>
  <si>
    <t>Youssef Arouif</t>
  </si>
  <si>
    <t>Yulanda Foye</t>
  </si>
  <si>
    <t>Yeshna Patel</t>
  </si>
  <si>
    <t>Vanessa Lerma</t>
  </si>
  <si>
    <t>Terrence Alford</t>
  </si>
  <si>
    <t>Aastha Sharma</t>
  </si>
  <si>
    <t>Michael Mitcham</t>
  </si>
  <si>
    <t>Marko Lukic</t>
  </si>
  <si>
    <t>Marki Mark</t>
  </si>
  <si>
    <t>Yvonne Adams</t>
  </si>
  <si>
    <t>Javier Gomez</t>
  </si>
  <si>
    <t>Zhanai Height</t>
  </si>
  <si>
    <t>Winfred Chandler</t>
  </si>
  <si>
    <t>Sudesh Rani</t>
  </si>
  <si>
    <t>Daquan Oliver</t>
  </si>
  <si>
    <t>Claude Dennis</t>
  </si>
  <si>
    <t>Kortni Williams</t>
  </si>
  <si>
    <t>Tiffany Prince</t>
  </si>
  <si>
    <t>Shakecia Brooken</t>
  </si>
  <si>
    <t>Xavier Nava</t>
  </si>
  <si>
    <t>Patricia Bliss</t>
  </si>
  <si>
    <t>Harinder Pal Joshi</t>
  </si>
  <si>
    <t>Devonte' Brown</t>
  </si>
  <si>
    <t>Cipriana Lopez</t>
  </si>
  <si>
    <t>Ashita Masih</t>
  </si>
  <si>
    <t>Alex Munoz</t>
  </si>
  <si>
    <t>Sagar Chouhan</t>
  </si>
  <si>
    <t>Lemmy Hernandez</t>
  </si>
  <si>
    <t>Raija Johnson</t>
  </si>
  <si>
    <t>Felix Melendez</t>
  </si>
  <si>
    <t>Mohamed L El Hmidi</t>
  </si>
  <si>
    <t>Nora Lopez</t>
  </si>
  <si>
    <t>La'Dasia Johnson</t>
  </si>
  <si>
    <t>Amanda Khokhar</t>
  </si>
  <si>
    <t>Karina Villalobos</t>
  </si>
  <si>
    <t>Yongyi Shen</t>
  </si>
  <si>
    <t>Youssef El Fekri</t>
  </si>
  <si>
    <t>Rita Parks</t>
  </si>
  <si>
    <t>Ryan Wirth</t>
  </si>
  <si>
    <t>Tiffany Whigham</t>
  </si>
  <si>
    <t>Gary Rhodes</t>
  </si>
  <si>
    <t>Brian Acosta-Trejo</t>
  </si>
  <si>
    <t>Waseak Wadud</t>
  </si>
  <si>
    <t>Urusha Maharjan</t>
  </si>
  <si>
    <t>Kendrick Rogers</t>
  </si>
  <si>
    <t>Tonisha Green</t>
  </si>
  <si>
    <t>Terrell Jackson</t>
  </si>
  <si>
    <t>Marta Mendoza</t>
  </si>
  <si>
    <t>Tiffany Gonyaw</t>
  </si>
  <si>
    <t>Tiara Kelly</t>
  </si>
  <si>
    <t>Antwain M Griffin Jr</t>
  </si>
  <si>
    <t>Allen Saputra</t>
  </si>
  <si>
    <t>John B</t>
  </si>
  <si>
    <t>Tamia Feliciano</t>
  </si>
  <si>
    <t>Santosh Kumari</t>
  </si>
  <si>
    <t>Solyda Soum</t>
  </si>
  <si>
    <t>Stacey Mitchell</t>
  </si>
  <si>
    <t>James Smiley</t>
  </si>
  <si>
    <t>Silas Shakya</t>
  </si>
  <si>
    <t>Shunba May</t>
  </si>
  <si>
    <t>Shailendra Chauhan</t>
  </si>
  <si>
    <t>Senthuran Maheswaran</t>
  </si>
  <si>
    <t>Sebastian Ramos</t>
  </si>
  <si>
    <t>Shahri Mallabo</t>
  </si>
  <si>
    <t>Malik Scott</t>
  </si>
  <si>
    <t>Karanbir Singh Sandhu</t>
  </si>
  <si>
    <t>Sam Aguilar</t>
  </si>
  <si>
    <t>Ryan Tidwell</t>
  </si>
  <si>
    <t>Okpidama Orode</t>
  </si>
  <si>
    <t>Erin Lapira</t>
  </si>
  <si>
    <t>Harpreet Sidhu</t>
  </si>
  <si>
    <t>S Mosley</t>
  </si>
  <si>
    <t>Ray Alexander</t>
  </si>
  <si>
    <t>Raja Mekonnin</t>
  </si>
  <si>
    <t>Priscilla Disla</t>
  </si>
  <si>
    <t>Prince Dominic</t>
  </si>
  <si>
    <t>Peta-Gaye Bennett</t>
  </si>
  <si>
    <t>Patrick Dizon</t>
  </si>
  <si>
    <t>Claudia Trousdale</t>
  </si>
  <si>
    <t>Paramjeet Sanger</t>
  </si>
  <si>
    <t>Erick Reyes</t>
  </si>
  <si>
    <t>Nikul Patel</t>
  </si>
  <si>
    <t>Steven Nguyen</t>
  </si>
  <si>
    <t>Danielle Tello</t>
  </si>
  <si>
    <t>Nadege Kamavuako</t>
  </si>
  <si>
    <t>Maria Elena Valencia</t>
  </si>
  <si>
    <t>Mohammed Khalil</t>
  </si>
  <si>
    <t>Merlyn Leon</t>
  </si>
  <si>
    <t>Merle Taylor</t>
  </si>
  <si>
    <t>Mehak Singla</t>
  </si>
  <si>
    <t>Ruben Medina</t>
  </si>
  <si>
    <t>Destaney Goolsby</t>
  </si>
  <si>
    <t>Maulan Brown</t>
  </si>
  <si>
    <t>Marissa Baldazo</t>
  </si>
  <si>
    <t>Maria Sandoval</t>
  </si>
  <si>
    <t>Mark Anthony Canete</t>
  </si>
  <si>
    <t>Mallori Alabastro</t>
  </si>
  <si>
    <t>Luis Cruz</t>
  </si>
  <si>
    <t>Alicia Feliciano</t>
  </si>
  <si>
    <t>Eric Owusu</t>
  </si>
  <si>
    <t>Lexxus King</t>
  </si>
  <si>
    <t>Kamonte Lesher</t>
  </si>
  <si>
    <t>Louise Chan</t>
  </si>
  <si>
    <t>Sarann Ros</t>
  </si>
  <si>
    <t>Keyla Figueredo</t>
  </si>
  <si>
    <t>Kevin Johnson</t>
  </si>
  <si>
    <t>Michael Hamilton</t>
  </si>
  <si>
    <t>Serge Kilolo</t>
  </si>
  <si>
    <t>Khurram Ali</t>
  </si>
  <si>
    <t>Kenneth Lam</t>
  </si>
  <si>
    <t>Kenneth Dezurn</t>
  </si>
  <si>
    <t>Ibrahim Kandeh</t>
  </si>
  <si>
    <t>Shakima Brown</t>
  </si>
  <si>
    <t>Josue Arceo</t>
  </si>
  <si>
    <t>Jorge Vera</t>
  </si>
  <si>
    <t>Jorgeanne Reyes</t>
  </si>
  <si>
    <t>Jordyn Reddic</t>
  </si>
  <si>
    <t>Sargie337 Sarsha_X</t>
  </si>
  <si>
    <t>Johnna Morris</t>
  </si>
  <si>
    <t>Joey Perez</t>
  </si>
  <si>
    <t>Jimbo Jim</t>
  </si>
  <si>
    <t>Jessica Faber</t>
  </si>
  <si>
    <t>Jerry Jerz</t>
  </si>
  <si>
    <t>Antrena Howell</t>
  </si>
  <si>
    <t>Jake Booth</t>
  </si>
  <si>
    <t>Jade Akande</t>
  </si>
  <si>
    <t>Jose Valentin</t>
  </si>
  <si>
    <t>Jordan Salinas</t>
  </si>
  <si>
    <t>Iyahna Brown</t>
  </si>
  <si>
    <t>Irais Rubio Vega</t>
  </si>
  <si>
    <t>Isaac Brown</t>
  </si>
  <si>
    <t>Ilya Hurrell</t>
  </si>
  <si>
    <t>Harvey Pigrum</t>
  </si>
  <si>
    <t>Joakhim Hounkpe</t>
  </si>
  <si>
    <t>Hicham Achrait</t>
  </si>
  <si>
    <t>Harpreet Johal</t>
  </si>
  <si>
    <t>Harleen Kaur</t>
  </si>
  <si>
    <t>Paulette Hargrave</t>
  </si>
  <si>
    <t>Happii Lotus</t>
  </si>
  <si>
    <t>Gurjinder Singh</t>
  </si>
  <si>
    <t>Shefali Gupta</t>
  </si>
  <si>
    <t>Jesus Ortiz</t>
  </si>
  <si>
    <t>Muhammad Ayubia</t>
  </si>
  <si>
    <t>Guisell Molina</t>
  </si>
  <si>
    <t>Gilberto Aguilar</t>
  </si>
  <si>
    <t>Gerardo Gonzalez</t>
  </si>
  <si>
    <t>Genieva Carr-Freeman</t>
  </si>
  <si>
    <t>Kozy Montana</t>
  </si>
  <si>
    <t>Andres Contreras</t>
  </si>
  <si>
    <t>Gabriel Nicholas</t>
  </si>
  <si>
    <t>Fredrick Damons</t>
  </si>
  <si>
    <t>Francisco Pantaleon</t>
  </si>
  <si>
    <t>Elias Vungaray</t>
  </si>
  <si>
    <t>Jesse Espinoza</t>
  </si>
  <si>
    <t>Efren Rodriguez</t>
  </si>
  <si>
    <t>Erika Alaniz</t>
  </si>
  <si>
    <t>Luis Enriquez-Miranda</t>
  </si>
  <si>
    <t>Enoch Mccoy Jr.</t>
  </si>
  <si>
    <t>Osasuehi Ehigiator</t>
  </si>
  <si>
    <t>Dustin Newman</t>
  </si>
  <si>
    <t>Will Whyte Iii</t>
  </si>
  <si>
    <t>Deontae House</t>
  </si>
  <si>
    <t>Daniel Novak</t>
  </si>
  <si>
    <t>Daniel Moreno</t>
  </si>
  <si>
    <t>Deryk Cabrera</t>
  </si>
  <si>
    <t>Derick Wilson</t>
  </si>
  <si>
    <t>Jeran Merritt</t>
  </si>
  <si>
    <t>Demetra Randolph</t>
  </si>
  <si>
    <t>Dre Productions</t>
  </si>
  <si>
    <t>Dominick Balius</t>
  </si>
  <si>
    <t>Devashish Munjpara</t>
  </si>
  <si>
    <t>Doy Arches</t>
  </si>
  <si>
    <t>Debbie Quarterman-Williams</t>
  </si>
  <si>
    <t>Aviaan Danclar</t>
  </si>
  <si>
    <t>Dale Ii Calderon</t>
  </si>
  <si>
    <t>Alma Castaneda</t>
  </si>
  <si>
    <t>Cristian Castillo</t>
  </si>
  <si>
    <t>Chris Sagandoy</t>
  </si>
  <si>
    <t>Timothy Banda</t>
  </si>
  <si>
    <t>Punita Chaudhary</t>
  </si>
  <si>
    <t>Jordan Chattman</t>
  </si>
  <si>
    <t>Elizabeth Cervantes</t>
  </si>
  <si>
    <t>Jose Celio</t>
  </si>
  <si>
    <t>Caleb Baxter</t>
  </si>
  <si>
    <t>Blake Kramer</t>
  </si>
  <si>
    <t>Brandon Fragoso</t>
  </si>
  <si>
    <t>Braden Parks</t>
  </si>
  <si>
    <t>Jeffrey Belidor</t>
  </si>
  <si>
    <t>Bei Chhaihlo</t>
  </si>
  <si>
    <t>Bianca Mendez</t>
  </si>
  <si>
    <t>Asok Mahr</t>
  </si>
  <si>
    <t>Ariel Amaya</t>
  </si>
  <si>
    <t>Ariel Castillo</t>
  </si>
  <si>
    <t>Anna Dixon</t>
  </si>
  <si>
    <t>Alvin Duong</t>
  </si>
  <si>
    <t>Alfred Thompson</t>
  </si>
  <si>
    <t>Alazim Odu</t>
  </si>
  <si>
    <t>Aidan Hopkins</t>
  </si>
  <si>
    <t>Afreen Dhamija</t>
  </si>
  <si>
    <t>Sher Chowdhury</t>
  </si>
  <si>
    <t>Ana Rodriguez</t>
  </si>
  <si>
    <t>Harpal Singh</t>
  </si>
  <si>
    <t>Exercise 1</t>
  </si>
  <si>
    <t>Exercise 2</t>
  </si>
  <si>
    <t>No Submission</t>
  </si>
  <si>
    <t>Pass</t>
  </si>
  <si>
    <t>Meeting Date</t>
  </si>
  <si>
    <t>Student ID</t>
  </si>
  <si>
    <t>Attendance</t>
  </si>
  <si>
    <t>Absence</t>
  </si>
  <si>
    <t>Passed</t>
  </si>
  <si>
    <t>Attendance Status</t>
  </si>
  <si>
    <t>Project Status</t>
  </si>
  <si>
    <t>CSC Meetings</t>
  </si>
  <si>
    <t>CSC Status</t>
  </si>
  <si>
    <t>Status</t>
  </si>
  <si>
    <t>Off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</si>
</sst>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7"/>
  <sheetViews>
    <sheetView workbookViewId="0">
      <pane ySplit="1" topLeftCell="A2" activePane="bottomLeft" state="frozen"/>
      <selection pane="bottomLeft" sqref="A1:I216"/>
    </sheetView>
  </sheetViews>
  <sheetFormatPr baseColWidth="10" defaultColWidth="12.6640625" defaultRowHeight="15.75" customHeight="1" x14ac:dyDescent="0.25"/>
  <cols>
    <col min="1" max="1" width="12.6640625" style="7"/>
    <col min="4" max="4" width="14.88671875" bestFit="1" customWidth="1"/>
    <col min="5" max="5" width="20.6640625" customWidth="1"/>
    <col min="9" max="9" width="20.109375" bestFit="1" customWidth="1"/>
  </cols>
  <sheetData>
    <row r="1" spans="1:9" ht="13.2" x14ac:dyDescent="0.25">
      <c r="A1" s="5" t="s">
        <v>867</v>
      </c>
      <c r="B1" s="1" t="s">
        <v>0</v>
      </c>
      <c r="C1" s="1" t="s">
        <v>1</v>
      </c>
      <c r="D1" s="1" t="s">
        <v>632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875</v>
      </c>
    </row>
    <row r="2" spans="1:9" ht="13.2" x14ac:dyDescent="0.25">
      <c r="A2" s="7">
        <v>1</v>
      </c>
      <c r="B2" s="2" t="s">
        <v>6</v>
      </c>
      <c r="C2" s="2" t="s">
        <v>7</v>
      </c>
      <c r="D2" t="s">
        <v>665</v>
      </c>
      <c r="E2" s="2" t="s">
        <v>8</v>
      </c>
      <c r="F2" s="2" t="s">
        <v>9</v>
      </c>
      <c r="G2" s="2" t="s">
        <v>10</v>
      </c>
      <c r="H2" s="2" t="s">
        <v>11</v>
      </c>
      <c r="I2" t="str">
        <f>IF(OR('Class Attendance'!Q2="At Risk",'PD Project'!G2="At Risk",'CSC Meeting Per Student'!E2="At Risk"),"Off Track","Normal")</f>
        <v>Off Track</v>
      </c>
    </row>
    <row r="3" spans="1:9" ht="13.2" x14ac:dyDescent="0.25">
      <c r="A3" s="7">
        <v>2</v>
      </c>
      <c r="B3" s="2" t="s">
        <v>12</v>
      </c>
      <c r="C3" s="2" t="s">
        <v>13</v>
      </c>
      <c r="D3" t="s">
        <v>858</v>
      </c>
      <c r="E3" s="2" t="s">
        <v>14</v>
      </c>
      <c r="F3" s="2" t="s">
        <v>15</v>
      </c>
      <c r="G3" s="2" t="s">
        <v>16</v>
      </c>
      <c r="H3" s="2" t="s">
        <v>11</v>
      </c>
      <c r="I3" t="str">
        <f>IF(OR('Class Attendance'!Q3="At Risk",'PD Project'!G3="At Risk",'CSC Meeting Per Student'!E3="At Risk"),"Off Track","Normal")</f>
        <v>Normal</v>
      </c>
    </row>
    <row r="4" spans="1:9" ht="13.2" x14ac:dyDescent="0.25">
      <c r="A4" s="7">
        <v>3</v>
      </c>
      <c r="B4" s="2" t="s">
        <v>17</v>
      </c>
      <c r="C4" s="2" t="s">
        <v>18</v>
      </c>
      <c r="D4" t="s">
        <v>857</v>
      </c>
      <c r="E4" s="2" t="s">
        <v>19</v>
      </c>
      <c r="F4" s="2" t="s">
        <v>9</v>
      </c>
      <c r="G4" s="2" t="s">
        <v>10</v>
      </c>
      <c r="H4" s="2" t="s">
        <v>20</v>
      </c>
      <c r="I4" t="str">
        <f>IF(OR('Class Attendance'!Q4="At Risk",'PD Project'!G4="At Risk",'CSC Meeting Per Student'!E4="At Risk"),"Off Track","Normal")</f>
        <v>Normal</v>
      </c>
    </row>
    <row r="5" spans="1:9" ht="13.2" x14ac:dyDescent="0.25">
      <c r="A5" s="7">
        <v>4</v>
      </c>
      <c r="B5" s="2" t="s">
        <v>21</v>
      </c>
      <c r="C5" s="2" t="s">
        <v>22</v>
      </c>
      <c r="D5" t="s">
        <v>856</v>
      </c>
      <c r="E5" s="2" t="s">
        <v>23</v>
      </c>
      <c r="F5" s="2" t="s">
        <v>24</v>
      </c>
      <c r="G5" s="2" t="s">
        <v>10</v>
      </c>
      <c r="H5" s="2" t="s">
        <v>20</v>
      </c>
      <c r="I5" t="str">
        <f>IF(OR('Class Attendance'!Q5="At Risk",'PD Project'!G5="At Risk",'CSC Meeting Per Student'!E5="At Risk"),"Off Track","Normal")</f>
        <v>Normal</v>
      </c>
    </row>
    <row r="6" spans="1:9" ht="13.2" x14ac:dyDescent="0.25">
      <c r="A6" s="7">
        <v>5</v>
      </c>
      <c r="B6" s="2" t="s">
        <v>25</v>
      </c>
      <c r="C6" s="2" t="s">
        <v>26</v>
      </c>
      <c r="D6" t="s">
        <v>685</v>
      </c>
      <c r="E6" s="2" t="s">
        <v>27</v>
      </c>
      <c r="F6" s="2" t="s">
        <v>24</v>
      </c>
      <c r="G6" s="2" t="s">
        <v>10</v>
      </c>
      <c r="H6" s="2" t="s">
        <v>20</v>
      </c>
      <c r="I6" t="str">
        <f>IF(OR('Class Attendance'!Q6="At Risk",'PD Project'!G6="At Risk",'CSC Meeting Per Student'!E6="At Risk"),"Off Track","Normal")</f>
        <v>Off Track</v>
      </c>
    </row>
    <row r="7" spans="1:9" ht="13.2" x14ac:dyDescent="0.25">
      <c r="A7" s="7">
        <v>6</v>
      </c>
      <c r="B7" s="2" t="s">
        <v>28</v>
      </c>
      <c r="C7" s="2" t="s">
        <v>29</v>
      </c>
      <c r="D7" t="s">
        <v>855</v>
      </c>
      <c r="E7" s="2" t="s">
        <v>30</v>
      </c>
      <c r="F7" s="2" t="s">
        <v>9</v>
      </c>
      <c r="G7" s="2" t="s">
        <v>10</v>
      </c>
      <c r="H7" s="2" t="s">
        <v>20</v>
      </c>
      <c r="I7" t="str">
        <f>IF(OR('Class Attendance'!Q7="At Risk",'PD Project'!G7="At Risk",'CSC Meeting Per Student'!E7="At Risk"),"Off Track","Normal")</f>
        <v>Off Track</v>
      </c>
    </row>
    <row r="8" spans="1:9" ht="13.2" x14ac:dyDescent="0.25">
      <c r="A8" s="7">
        <v>7</v>
      </c>
      <c r="B8" s="2" t="s">
        <v>31</v>
      </c>
      <c r="C8" s="2" t="s">
        <v>32</v>
      </c>
      <c r="D8" t="s">
        <v>758</v>
      </c>
      <c r="E8" s="2" t="s">
        <v>33</v>
      </c>
      <c r="F8" s="2" t="s">
        <v>34</v>
      </c>
      <c r="G8" s="2" t="s">
        <v>16</v>
      </c>
      <c r="H8" s="2" t="s">
        <v>20</v>
      </c>
      <c r="I8" t="str">
        <f>IF(OR('Class Attendance'!Q8="At Risk",'PD Project'!G8="At Risk",'CSC Meeting Per Student'!E8="At Risk"),"Off Track","Normal")</f>
        <v>Off Track</v>
      </c>
    </row>
    <row r="9" spans="1:9" ht="13.2" x14ac:dyDescent="0.25">
      <c r="A9" s="7">
        <v>8</v>
      </c>
      <c r="B9" s="2" t="s">
        <v>35</v>
      </c>
      <c r="C9" s="2" t="s">
        <v>36</v>
      </c>
      <c r="D9" t="s">
        <v>711</v>
      </c>
      <c r="E9" s="2" t="s">
        <v>37</v>
      </c>
      <c r="F9" s="2" t="s">
        <v>38</v>
      </c>
      <c r="G9" s="2" t="s">
        <v>39</v>
      </c>
      <c r="H9" s="2" t="s">
        <v>20</v>
      </c>
      <c r="I9" t="str">
        <f>IF(OR('Class Attendance'!Q9="At Risk",'PD Project'!G9="At Risk",'CSC Meeting Per Student'!E9="At Risk"),"Off Track","Normal")</f>
        <v>Off Track</v>
      </c>
    </row>
    <row r="10" spans="1:9" ht="13.2" x14ac:dyDescent="0.25">
      <c r="A10" s="7">
        <v>9</v>
      </c>
      <c r="B10" s="2" t="s">
        <v>40</v>
      </c>
      <c r="C10" s="2" t="s">
        <v>41</v>
      </c>
      <c r="D10" t="s">
        <v>835</v>
      </c>
      <c r="E10" s="2" t="s">
        <v>42</v>
      </c>
      <c r="F10" s="2" t="s">
        <v>15</v>
      </c>
      <c r="G10" s="2" t="s">
        <v>43</v>
      </c>
      <c r="H10" s="2" t="s">
        <v>20</v>
      </c>
      <c r="I10" t="str">
        <f>IF(OR('Class Attendance'!Q10="At Risk",'PD Project'!G10="At Risk",'CSC Meeting Per Student'!E10="At Risk"),"Off Track","Normal")</f>
        <v>Off Track</v>
      </c>
    </row>
    <row r="11" spans="1:9" ht="13.2" x14ac:dyDescent="0.25">
      <c r="A11" s="7">
        <v>10</v>
      </c>
      <c r="B11" s="2" t="s">
        <v>44</v>
      </c>
      <c r="C11" s="2" t="s">
        <v>45</v>
      </c>
      <c r="D11" t="s">
        <v>854</v>
      </c>
      <c r="E11" s="2" t="s">
        <v>46</v>
      </c>
      <c r="F11" s="2" t="s">
        <v>47</v>
      </c>
      <c r="G11" s="2" t="s">
        <v>43</v>
      </c>
      <c r="H11" s="2" t="s">
        <v>20</v>
      </c>
      <c r="I11" t="str">
        <f>IF(OR('Class Attendance'!Q11="At Risk",'PD Project'!G11="At Risk",'CSC Meeting Per Student'!E11="At Risk"),"Off Track","Normal")</f>
        <v>Off Track</v>
      </c>
    </row>
    <row r="12" spans="1:9" ht="13.2" x14ac:dyDescent="0.25">
      <c r="A12" s="7">
        <v>11</v>
      </c>
      <c r="B12" s="2" t="s">
        <v>48</v>
      </c>
      <c r="C12" s="2" t="s">
        <v>49</v>
      </c>
      <c r="D12" t="s">
        <v>693</v>
      </c>
      <c r="E12" s="2" t="s">
        <v>50</v>
      </c>
      <c r="F12" s="2" t="s">
        <v>51</v>
      </c>
      <c r="G12" s="2" t="s">
        <v>39</v>
      </c>
      <c r="H12" s="2" t="s">
        <v>11</v>
      </c>
      <c r="I12" t="str">
        <f>IF(OR('Class Attendance'!Q12="At Risk",'PD Project'!G12="At Risk",'CSC Meeting Per Student'!E12="At Risk"),"Off Track","Normal")</f>
        <v>Off Track</v>
      </c>
    </row>
    <row r="13" spans="1:9" ht="13.2" x14ac:dyDescent="0.25">
      <c r="A13" s="7">
        <v>12</v>
      </c>
      <c r="B13" s="2" t="s">
        <v>52</v>
      </c>
      <c r="C13" s="2" t="s">
        <v>53</v>
      </c>
      <c r="D13" t="s">
        <v>860</v>
      </c>
      <c r="E13" s="2" t="s">
        <v>54</v>
      </c>
      <c r="F13" s="2" t="s">
        <v>51</v>
      </c>
      <c r="G13" s="2" t="s">
        <v>39</v>
      </c>
      <c r="H13" s="2" t="s">
        <v>20</v>
      </c>
      <c r="I13" t="str">
        <f>IF(OR('Class Attendance'!Q13="At Risk",'PD Project'!G13="At Risk",'CSC Meeting Per Student'!E13="At Risk"),"Off Track","Normal")</f>
        <v>Off Track</v>
      </c>
    </row>
    <row r="14" spans="1:9" ht="13.2" x14ac:dyDescent="0.25">
      <c r="A14" s="7">
        <v>13</v>
      </c>
      <c r="B14" s="2" t="s">
        <v>52</v>
      </c>
      <c r="C14" s="2" t="s">
        <v>55</v>
      </c>
      <c r="D14" t="s">
        <v>652</v>
      </c>
      <c r="E14" s="2" t="s">
        <v>56</v>
      </c>
      <c r="F14" s="2" t="s">
        <v>57</v>
      </c>
      <c r="G14" s="2" t="s">
        <v>43</v>
      </c>
      <c r="H14" s="2" t="s">
        <v>20</v>
      </c>
      <c r="I14" t="str">
        <f>IF(OR('Class Attendance'!Q14="At Risk",'PD Project'!G14="At Risk",'CSC Meeting Per Student'!E14="At Risk"),"Off Track","Normal")</f>
        <v>Off Track</v>
      </c>
    </row>
    <row r="15" spans="1:9" ht="13.2" x14ac:dyDescent="0.25">
      <c r="A15" s="7">
        <v>14</v>
      </c>
      <c r="B15" s="2" t="s">
        <v>58</v>
      </c>
      <c r="C15" s="2" t="s">
        <v>59</v>
      </c>
      <c r="D15" t="s">
        <v>808</v>
      </c>
      <c r="E15" s="2" t="s">
        <v>60</v>
      </c>
      <c r="F15" s="2" t="s">
        <v>9</v>
      </c>
      <c r="G15" s="2" t="s">
        <v>10</v>
      </c>
      <c r="H15" s="2" t="s">
        <v>20</v>
      </c>
      <c r="I15" t="str">
        <f>IF(OR('Class Attendance'!Q15="At Risk",'PD Project'!G15="At Risk",'CSC Meeting Per Student'!E15="At Risk"),"Off Track","Normal")</f>
        <v>Normal</v>
      </c>
    </row>
    <row r="16" spans="1:9" ht="13.2" x14ac:dyDescent="0.25">
      <c r="A16" s="7">
        <v>15</v>
      </c>
      <c r="B16" s="2" t="s">
        <v>61</v>
      </c>
      <c r="C16" s="2" t="s">
        <v>62</v>
      </c>
      <c r="D16" t="s">
        <v>853</v>
      </c>
      <c r="E16" s="2" t="s">
        <v>63</v>
      </c>
      <c r="F16" s="2" t="s">
        <v>51</v>
      </c>
      <c r="G16" s="2" t="s">
        <v>39</v>
      </c>
      <c r="H16" s="2" t="s">
        <v>20</v>
      </c>
      <c r="I16" t="str">
        <f>IF(OR('Class Attendance'!Q16="At Risk",'PD Project'!G16="At Risk",'CSC Meeting Per Student'!E16="At Risk"),"Off Track","Normal")</f>
        <v>Normal</v>
      </c>
    </row>
    <row r="17" spans="1:9" ht="13.2" x14ac:dyDescent="0.25">
      <c r="A17" s="7">
        <v>16</v>
      </c>
      <c r="B17" s="2" t="s">
        <v>64</v>
      </c>
      <c r="C17" s="2" t="s">
        <v>65</v>
      </c>
      <c r="D17" t="s">
        <v>783</v>
      </c>
      <c r="E17" s="2" t="s">
        <v>66</v>
      </c>
      <c r="F17" s="2" t="s">
        <v>51</v>
      </c>
      <c r="G17" s="2" t="s">
        <v>39</v>
      </c>
      <c r="H17" s="2" t="s">
        <v>20</v>
      </c>
      <c r="I17" t="str">
        <f>IF(OR('Class Attendance'!Q17="At Risk",'PD Project'!G17="At Risk",'CSC Meeting Per Student'!E17="At Risk"),"Off Track","Normal")</f>
        <v>Off Track</v>
      </c>
    </row>
    <row r="18" spans="1:9" ht="13.2" x14ac:dyDescent="0.25">
      <c r="A18" s="7">
        <v>17</v>
      </c>
      <c r="B18" s="2" t="s">
        <v>67</v>
      </c>
      <c r="C18" s="2" t="s">
        <v>68</v>
      </c>
      <c r="D18" t="s">
        <v>710</v>
      </c>
      <c r="E18" s="2" t="s">
        <v>69</v>
      </c>
      <c r="F18" s="2" t="s">
        <v>34</v>
      </c>
      <c r="G18" s="2" t="s">
        <v>16</v>
      </c>
      <c r="H18" s="2" t="s">
        <v>20</v>
      </c>
      <c r="I18" t="str">
        <f>IF(OR('Class Attendance'!Q18="At Risk",'PD Project'!G18="At Risk",'CSC Meeting Per Student'!E18="At Risk"),"Off Track","Normal")</f>
        <v>Off Track</v>
      </c>
    </row>
    <row r="19" spans="1:9" ht="13.2" x14ac:dyDescent="0.25">
      <c r="A19" s="7">
        <v>18</v>
      </c>
      <c r="B19" s="2" t="s">
        <v>70</v>
      </c>
      <c r="C19" s="2" t="s">
        <v>71</v>
      </c>
      <c r="D19" t="s">
        <v>852</v>
      </c>
      <c r="E19" s="2" t="s">
        <v>72</v>
      </c>
      <c r="F19" s="2" t="s">
        <v>57</v>
      </c>
      <c r="G19" s="2" t="s">
        <v>43</v>
      </c>
      <c r="H19" s="2" t="s">
        <v>20</v>
      </c>
      <c r="I19" t="str">
        <f>IF(OR('Class Attendance'!Q19="At Risk",'PD Project'!G19="At Risk",'CSC Meeting Per Student'!E19="At Risk"),"Off Track","Normal")</f>
        <v>Normal</v>
      </c>
    </row>
    <row r="20" spans="1:9" ht="13.2" x14ac:dyDescent="0.25">
      <c r="A20" s="7">
        <v>19</v>
      </c>
      <c r="B20" s="2" t="s">
        <v>70</v>
      </c>
      <c r="C20" s="2" t="s">
        <v>73</v>
      </c>
      <c r="D20" t="s">
        <v>851</v>
      </c>
      <c r="E20" s="2" t="s">
        <v>74</v>
      </c>
      <c r="F20" s="2" t="s">
        <v>47</v>
      </c>
      <c r="G20" s="2" t="s">
        <v>43</v>
      </c>
      <c r="H20" s="2" t="s">
        <v>20</v>
      </c>
      <c r="I20" t="str">
        <f>IF(OR('Class Attendance'!Q20="At Risk",'PD Project'!G20="At Risk",'CSC Meeting Per Student'!E20="At Risk"),"Off Track","Normal")</f>
        <v>Normal</v>
      </c>
    </row>
    <row r="21" spans="1:9" ht="13.2" x14ac:dyDescent="0.25">
      <c r="A21" s="7">
        <v>20</v>
      </c>
      <c r="B21" s="2" t="s">
        <v>75</v>
      </c>
      <c r="C21" s="2" t="s">
        <v>76</v>
      </c>
      <c r="D21" t="s">
        <v>684</v>
      </c>
      <c r="E21" s="2" t="s">
        <v>77</v>
      </c>
      <c r="F21" s="2" t="s">
        <v>78</v>
      </c>
      <c r="G21" s="2" t="s">
        <v>16</v>
      </c>
      <c r="H21" s="2" t="s">
        <v>11</v>
      </c>
      <c r="I21" t="str">
        <f>IF(OR('Class Attendance'!Q21="At Risk",'PD Project'!G21="At Risk",'CSC Meeting Per Student'!E21="At Risk"),"Off Track","Normal")</f>
        <v>Off Track</v>
      </c>
    </row>
    <row r="22" spans="1:9" ht="13.2" x14ac:dyDescent="0.25">
      <c r="A22" s="7">
        <v>21</v>
      </c>
      <c r="B22" s="2" t="s">
        <v>79</v>
      </c>
      <c r="C22" s="2" t="s">
        <v>80</v>
      </c>
      <c r="D22" t="s">
        <v>850</v>
      </c>
      <c r="E22" s="2" t="s">
        <v>81</v>
      </c>
      <c r="F22" s="2" t="s">
        <v>78</v>
      </c>
      <c r="G22" s="2" t="s">
        <v>16</v>
      </c>
      <c r="H22" s="2" t="s">
        <v>20</v>
      </c>
      <c r="I22" t="str">
        <f>IF(OR('Class Attendance'!Q22="At Risk",'PD Project'!G22="At Risk",'CSC Meeting Per Student'!E22="At Risk"),"Off Track","Normal")</f>
        <v>Normal</v>
      </c>
    </row>
    <row r="23" spans="1:9" ht="13.2" x14ac:dyDescent="0.25">
      <c r="A23" s="7">
        <v>22</v>
      </c>
      <c r="B23" s="2" t="s">
        <v>82</v>
      </c>
      <c r="C23" s="2" t="s">
        <v>83</v>
      </c>
      <c r="D23" t="s">
        <v>833</v>
      </c>
      <c r="E23" s="2" t="s">
        <v>84</v>
      </c>
      <c r="F23" s="2" t="s">
        <v>24</v>
      </c>
      <c r="G23" s="2" t="s">
        <v>10</v>
      </c>
      <c r="H23" s="2" t="s">
        <v>20</v>
      </c>
      <c r="I23" t="str">
        <f>IF(OR('Class Attendance'!Q23="At Risk",'PD Project'!G23="At Risk",'CSC Meeting Per Student'!E23="At Risk"),"Off Track","Normal")</f>
        <v>Off Track</v>
      </c>
    </row>
    <row r="24" spans="1:9" ht="13.2" x14ac:dyDescent="0.25">
      <c r="A24" s="7">
        <v>23</v>
      </c>
      <c r="B24" s="2" t="s">
        <v>85</v>
      </c>
      <c r="C24" s="2" t="s">
        <v>86</v>
      </c>
      <c r="D24" t="s">
        <v>848</v>
      </c>
      <c r="E24" s="2" t="s">
        <v>87</v>
      </c>
      <c r="F24" s="2" t="s">
        <v>15</v>
      </c>
      <c r="G24" s="2" t="s">
        <v>16</v>
      </c>
      <c r="H24" s="2" t="s">
        <v>20</v>
      </c>
      <c r="I24" t="str">
        <f>IF(OR('Class Attendance'!Q24="At Risk",'PD Project'!G24="At Risk",'CSC Meeting Per Student'!E24="At Risk"),"Off Track","Normal")</f>
        <v>Off Track</v>
      </c>
    </row>
    <row r="25" spans="1:9" ht="13.2" x14ac:dyDescent="0.25">
      <c r="A25" s="7">
        <v>24</v>
      </c>
      <c r="B25" s="2" t="s">
        <v>88</v>
      </c>
      <c r="C25" s="2" t="s">
        <v>89</v>
      </c>
      <c r="D25" t="s">
        <v>849</v>
      </c>
      <c r="E25" s="2" t="s">
        <v>90</v>
      </c>
      <c r="F25" s="2" t="s">
        <v>47</v>
      </c>
      <c r="G25" s="2" t="s">
        <v>43</v>
      </c>
      <c r="H25" s="2" t="s">
        <v>20</v>
      </c>
      <c r="I25" t="str">
        <f>IF(OR('Class Attendance'!Q25="At Risk",'PD Project'!G25="At Risk",'CSC Meeting Per Student'!E25="At Risk"),"Off Track","Normal")</f>
        <v>Normal</v>
      </c>
    </row>
    <row r="26" spans="1:9" ht="13.2" x14ac:dyDescent="0.25">
      <c r="A26" s="7">
        <v>25</v>
      </c>
      <c r="B26" s="2" t="s">
        <v>91</v>
      </c>
      <c r="C26" s="2" t="s">
        <v>92</v>
      </c>
      <c r="D26" t="s">
        <v>844</v>
      </c>
      <c r="E26" s="2" t="s">
        <v>93</v>
      </c>
      <c r="F26" s="2" t="s">
        <v>38</v>
      </c>
      <c r="G26" s="2" t="s">
        <v>39</v>
      </c>
      <c r="H26" s="2" t="s">
        <v>20</v>
      </c>
      <c r="I26" t="str">
        <f>IF(OR('Class Attendance'!Q26="At Risk",'PD Project'!G26="At Risk",'CSC Meeting Per Student'!E26="At Risk"),"Off Track","Normal")</f>
        <v>Normal</v>
      </c>
    </row>
    <row r="27" spans="1:9" ht="13.2" x14ac:dyDescent="0.25">
      <c r="A27" s="7">
        <v>26</v>
      </c>
      <c r="B27" s="2" t="s">
        <v>94</v>
      </c>
      <c r="C27" s="2" t="s">
        <v>95</v>
      </c>
      <c r="D27" t="s">
        <v>846</v>
      </c>
      <c r="E27" s="2" t="s">
        <v>96</v>
      </c>
      <c r="F27" s="2" t="s">
        <v>34</v>
      </c>
      <c r="G27" s="2" t="s">
        <v>16</v>
      </c>
      <c r="H27" s="2" t="s">
        <v>20</v>
      </c>
      <c r="I27" t="str">
        <f>IF(OR('Class Attendance'!Q27="At Risk",'PD Project'!G27="At Risk",'CSC Meeting Per Student'!E27="At Risk"),"Off Track","Normal")</f>
        <v>Normal</v>
      </c>
    </row>
    <row r="28" spans="1:9" ht="13.2" x14ac:dyDescent="0.25">
      <c r="A28" s="7">
        <v>27</v>
      </c>
      <c r="B28" s="2" t="s">
        <v>97</v>
      </c>
      <c r="C28" s="2" t="s">
        <v>98</v>
      </c>
      <c r="D28" t="s">
        <v>650</v>
      </c>
      <c r="E28" s="2" t="s">
        <v>99</v>
      </c>
      <c r="F28" s="2" t="s">
        <v>38</v>
      </c>
      <c r="G28" s="2" t="s">
        <v>39</v>
      </c>
      <c r="H28" s="2" t="s">
        <v>20</v>
      </c>
      <c r="I28" t="str">
        <f>IF(OR('Class Attendance'!Q28="At Risk",'PD Project'!G28="At Risk",'CSC Meeting Per Student'!E28="At Risk"),"Off Track","Normal")</f>
        <v>Off Track</v>
      </c>
    </row>
    <row r="29" spans="1:9" ht="13.2" x14ac:dyDescent="0.25">
      <c r="A29" s="7">
        <v>28</v>
      </c>
      <c r="B29" s="2" t="s">
        <v>100</v>
      </c>
      <c r="C29" s="2" t="s">
        <v>101</v>
      </c>
      <c r="D29" t="s">
        <v>845</v>
      </c>
      <c r="E29" s="2" t="s">
        <v>102</v>
      </c>
      <c r="F29" s="2" t="s">
        <v>57</v>
      </c>
      <c r="G29" s="2" t="s">
        <v>43</v>
      </c>
      <c r="H29" s="2" t="s">
        <v>20</v>
      </c>
      <c r="I29" t="str">
        <f>IF(OR('Class Attendance'!Q29="At Risk",'PD Project'!G29="At Risk",'CSC Meeting Per Student'!E29="At Risk"),"Off Track","Normal")</f>
        <v>Off Track</v>
      </c>
    </row>
    <row r="30" spans="1:9" ht="13.2" x14ac:dyDescent="0.25">
      <c r="A30" s="7">
        <v>29</v>
      </c>
      <c r="B30" s="2" t="s">
        <v>103</v>
      </c>
      <c r="C30" s="2" t="s">
        <v>104</v>
      </c>
      <c r="D30" t="s">
        <v>701</v>
      </c>
      <c r="E30" s="2" t="s">
        <v>105</v>
      </c>
      <c r="F30" s="2" t="s">
        <v>78</v>
      </c>
      <c r="G30" s="2" t="s">
        <v>16</v>
      </c>
      <c r="H30" s="2" t="s">
        <v>20</v>
      </c>
      <c r="I30" t="str">
        <f>IF(OR('Class Attendance'!Q30="At Risk",'PD Project'!G30="At Risk",'CSC Meeting Per Student'!E30="At Risk"),"Off Track","Normal")</f>
        <v>Normal</v>
      </c>
    </row>
    <row r="31" spans="1:9" ht="13.2" x14ac:dyDescent="0.25">
      <c r="A31" s="7">
        <v>30</v>
      </c>
      <c r="B31" s="2" t="s">
        <v>106</v>
      </c>
      <c r="C31" s="2" t="s">
        <v>107</v>
      </c>
      <c r="D31" t="s">
        <v>843</v>
      </c>
      <c r="E31" s="2" t="s">
        <v>108</v>
      </c>
      <c r="F31" s="2" t="s">
        <v>47</v>
      </c>
      <c r="G31" s="2" t="s">
        <v>43</v>
      </c>
      <c r="H31" s="2" t="s">
        <v>20</v>
      </c>
      <c r="I31" t="str">
        <f>IF(OR('Class Attendance'!Q31="At Risk",'PD Project'!G31="At Risk",'CSC Meeting Per Student'!E31="At Risk"),"Off Track","Normal")</f>
        <v>Normal</v>
      </c>
    </row>
    <row r="32" spans="1:9" ht="13.2" x14ac:dyDescent="0.25">
      <c r="A32" s="7">
        <v>31</v>
      </c>
      <c r="B32" s="2" t="s">
        <v>109</v>
      </c>
      <c r="C32" s="2" t="s">
        <v>110</v>
      </c>
      <c r="D32" t="s">
        <v>837</v>
      </c>
      <c r="E32" s="2" t="s">
        <v>111</v>
      </c>
      <c r="F32" s="2" t="s">
        <v>78</v>
      </c>
      <c r="G32" s="2" t="s">
        <v>39</v>
      </c>
      <c r="H32" s="2" t="s">
        <v>20</v>
      </c>
      <c r="I32" t="str">
        <f>IF(OR('Class Attendance'!Q32="At Risk",'PD Project'!G32="At Risk",'CSC Meeting Per Student'!E32="At Risk"),"Off Track","Normal")</f>
        <v>Normal</v>
      </c>
    </row>
    <row r="33" spans="1:9" ht="13.2" x14ac:dyDescent="0.25">
      <c r="A33" s="7">
        <v>32</v>
      </c>
      <c r="B33" s="2" t="s">
        <v>78</v>
      </c>
      <c r="C33" s="2" t="s">
        <v>112</v>
      </c>
      <c r="D33" t="s">
        <v>649</v>
      </c>
      <c r="E33" s="2" t="s">
        <v>113</v>
      </c>
      <c r="F33" s="2" t="s">
        <v>34</v>
      </c>
      <c r="G33" s="2" t="s">
        <v>16</v>
      </c>
      <c r="H33" s="2" t="s">
        <v>20</v>
      </c>
      <c r="I33" t="str">
        <f>IF(OR('Class Attendance'!Q33="At Risk",'PD Project'!G33="At Risk",'CSC Meeting Per Student'!E33="At Risk"),"Off Track","Normal")</f>
        <v>Normal</v>
      </c>
    </row>
    <row r="34" spans="1:9" ht="13.2" x14ac:dyDescent="0.25">
      <c r="A34" s="7">
        <v>33</v>
      </c>
      <c r="B34" s="2" t="s">
        <v>114</v>
      </c>
      <c r="C34" s="2" t="s">
        <v>115</v>
      </c>
      <c r="D34" t="s">
        <v>683</v>
      </c>
      <c r="E34" s="2" t="s">
        <v>116</v>
      </c>
      <c r="F34" s="2" t="s">
        <v>38</v>
      </c>
      <c r="G34" s="2" t="s">
        <v>39</v>
      </c>
      <c r="H34" s="2" t="s">
        <v>20</v>
      </c>
      <c r="I34" t="str">
        <f>IF(OR('Class Attendance'!Q34="At Risk",'PD Project'!G34="At Risk",'CSC Meeting Per Student'!E34="At Risk"),"Off Track","Normal")</f>
        <v>Off Track</v>
      </c>
    </row>
    <row r="35" spans="1:9" ht="13.2" x14ac:dyDescent="0.25">
      <c r="A35" s="7">
        <v>34</v>
      </c>
      <c r="B35" s="2" t="s">
        <v>117</v>
      </c>
      <c r="C35" s="2" t="s">
        <v>118</v>
      </c>
      <c r="D35" t="s">
        <v>675</v>
      </c>
      <c r="E35" s="2" t="s">
        <v>119</v>
      </c>
      <c r="F35" s="2" t="s">
        <v>57</v>
      </c>
      <c r="G35" s="2" t="s">
        <v>43</v>
      </c>
      <c r="H35" s="2" t="s">
        <v>20</v>
      </c>
      <c r="I35" t="str">
        <f>IF(OR('Class Attendance'!Q35="At Risk",'PD Project'!G35="At Risk",'CSC Meeting Per Student'!E35="At Risk"),"Off Track","Normal")</f>
        <v>Off Track</v>
      </c>
    </row>
    <row r="36" spans="1:9" ht="13.2" x14ac:dyDescent="0.25">
      <c r="A36" s="7">
        <v>35</v>
      </c>
      <c r="B36" s="2" t="s">
        <v>120</v>
      </c>
      <c r="C36" s="2" t="s">
        <v>121</v>
      </c>
      <c r="D36" t="s">
        <v>738</v>
      </c>
      <c r="E36" s="2" t="s">
        <v>122</v>
      </c>
      <c r="F36" s="2" t="s">
        <v>47</v>
      </c>
      <c r="G36" s="2" t="s">
        <v>43</v>
      </c>
      <c r="H36" s="2" t="s">
        <v>20</v>
      </c>
      <c r="I36" t="str">
        <f>IF(OR('Class Attendance'!Q36="At Risk",'PD Project'!G36="At Risk",'CSC Meeting Per Student'!E36="At Risk"),"Off Track","Normal")</f>
        <v>Normal</v>
      </c>
    </row>
    <row r="37" spans="1:9" ht="13.2" x14ac:dyDescent="0.25">
      <c r="A37" s="7">
        <v>36</v>
      </c>
      <c r="B37" s="2" t="s">
        <v>123</v>
      </c>
      <c r="C37" s="2" t="s">
        <v>71</v>
      </c>
      <c r="D37" t="s">
        <v>836</v>
      </c>
      <c r="E37" s="2" t="s">
        <v>124</v>
      </c>
      <c r="F37" s="2" t="s">
        <v>78</v>
      </c>
      <c r="G37" s="2" t="s">
        <v>39</v>
      </c>
      <c r="H37" s="2" t="s">
        <v>20</v>
      </c>
      <c r="I37" t="str">
        <f>IF(OR('Class Attendance'!Q37="At Risk",'PD Project'!G37="At Risk",'CSC Meeting Per Student'!E37="At Risk"),"Off Track","Normal")</f>
        <v>Normal</v>
      </c>
    </row>
    <row r="38" spans="1:9" ht="13.2" x14ac:dyDescent="0.25">
      <c r="A38" s="7">
        <v>37</v>
      </c>
      <c r="B38" s="2" t="s">
        <v>125</v>
      </c>
      <c r="C38" s="2" t="s">
        <v>126</v>
      </c>
      <c r="D38" t="s">
        <v>834</v>
      </c>
      <c r="E38" s="2" t="s">
        <v>127</v>
      </c>
      <c r="F38" s="2" t="s">
        <v>51</v>
      </c>
      <c r="G38" s="2" t="s">
        <v>39</v>
      </c>
      <c r="H38" s="2" t="s">
        <v>20</v>
      </c>
      <c r="I38" t="str">
        <f>IF(OR('Class Attendance'!Q38="At Risk",'PD Project'!G38="At Risk",'CSC Meeting Per Student'!E38="At Risk"),"Off Track","Normal")</f>
        <v>Normal</v>
      </c>
    </row>
    <row r="39" spans="1:9" ht="13.2" x14ac:dyDescent="0.25">
      <c r="A39" s="7">
        <v>38</v>
      </c>
      <c r="B39" s="2" t="s">
        <v>128</v>
      </c>
      <c r="C39" s="2" t="s">
        <v>129</v>
      </c>
      <c r="D39" t="s">
        <v>822</v>
      </c>
      <c r="E39" s="2" t="s">
        <v>130</v>
      </c>
      <c r="F39" s="2" t="s">
        <v>15</v>
      </c>
      <c r="G39" s="2" t="s">
        <v>16</v>
      </c>
      <c r="H39" s="2" t="s">
        <v>20</v>
      </c>
      <c r="I39" t="str">
        <f>IF(OR('Class Attendance'!Q39="At Risk",'PD Project'!G39="At Risk",'CSC Meeting Per Student'!E39="At Risk"),"Off Track","Normal")</f>
        <v>Off Track</v>
      </c>
    </row>
    <row r="40" spans="1:9" ht="13.2" x14ac:dyDescent="0.25">
      <c r="A40" s="7">
        <v>39</v>
      </c>
      <c r="B40" s="2" t="s">
        <v>128</v>
      </c>
      <c r="C40" s="2" t="s">
        <v>131</v>
      </c>
      <c r="D40" t="s">
        <v>823</v>
      </c>
      <c r="E40" s="2" t="s">
        <v>132</v>
      </c>
      <c r="F40" s="2" t="s">
        <v>57</v>
      </c>
      <c r="G40" s="2" t="s">
        <v>43</v>
      </c>
      <c r="H40" s="2" t="s">
        <v>20</v>
      </c>
      <c r="I40" t="str">
        <f>IF(OR('Class Attendance'!Q40="At Risk",'PD Project'!G40="At Risk",'CSC Meeting Per Student'!E40="At Risk"),"Off Track","Normal")</f>
        <v>Normal</v>
      </c>
    </row>
    <row r="41" spans="1:9" ht="13.2" x14ac:dyDescent="0.25">
      <c r="A41" s="7">
        <v>40</v>
      </c>
      <c r="B41" s="2" t="s">
        <v>39</v>
      </c>
      <c r="C41" s="2" t="s">
        <v>133</v>
      </c>
      <c r="D41" t="s">
        <v>743</v>
      </c>
      <c r="E41" s="2" t="s">
        <v>134</v>
      </c>
      <c r="F41" s="2" t="s">
        <v>47</v>
      </c>
      <c r="G41" s="2" t="s">
        <v>43</v>
      </c>
      <c r="H41" s="2" t="s">
        <v>20</v>
      </c>
      <c r="I41" t="str">
        <f>IF(OR('Class Attendance'!Q41="At Risk",'PD Project'!G41="At Risk",'CSC Meeting Per Student'!E41="At Risk"),"Off Track","Normal")</f>
        <v>Normal</v>
      </c>
    </row>
    <row r="42" spans="1:9" ht="13.2" x14ac:dyDescent="0.25">
      <c r="A42" s="7">
        <v>41</v>
      </c>
      <c r="B42" s="2" t="s">
        <v>135</v>
      </c>
      <c r="C42" s="2" t="s">
        <v>136</v>
      </c>
      <c r="D42" t="s">
        <v>674</v>
      </c>
      <c r="E42" s="2" t="s">
        <v>137</v>
      </c>
      <c r="F42" s="2" t="s">
        <v>24</v>
      </c>
      <c r="G42" s="2" t="s">
        <v>43</v>
      </c>
      <c r="H42" s="2" t="s">
        <v>20</v>
      </c>
      <c r="I42" t="str">
        <f>IF(OR('Class Attendance'!Q42="At Risk",'PD Project'!G42="At Risk",'CSC Meeting Per Student'!E42="At Risk"),"Off Track","Normal")</f>
        <v>Off Track</v>
      </c>
    </row>
    <row r="43" spans="1:9" ht="13.2" x14ac:dyDescent="0.25">
      <c r="A43" s="7">
        <v>42</v>
      </c>
      <c r="B43" s="2" t="s">
        <v>138</v>
      </c>
      <c r="C43" s="2" t="s">
        <v>139</v>
      </c>
      <c r="D43" t="s">
        <v>832</v>
      </c>
      <c r="E43" s="2" t="s">
        <v>140</v>
      </c>
      <c r="F43" s="2" t="s">
        <v>15</v>
      </c>
      <c r="G43" s="2" t="s">
        <v>16</v>
      </c>
      <c r="H43" s="2" t="s">
        <v>20</v>
      </c>
      <c r="I43" t="str">
        <f>IF(OR('Class Attendance'!Q43="At Risk",'PD Project'!G43="At Risk",'CSC Meeting Per Student'!E43="At Risk"),"Off Track","Normal")</f>
        <v>Normal</v>
      </c>
    </row>
    <row r="44" spans="1:9" ht="13.2" x14ac:dyDescent="0.25">
      <c r="A44" s="7">
        <v>43</v>
      </c>
      <c r="B44" s="2" t="s">
        <v>141</v>
      </c>
      <c r="C44" s="2" t="s">
        <v>142</v>
      </c>
      <c r="D44" t="s">
        <v>827</v>
      </c>
      <c r="E44" s="2" t="s">
        <v>143</v>
      </c>
      <c r="F44" s="2" t="s">
        <v>34</v>
      </c>
      <c r="G44" s="2" t="s">
        <v>16</v>
      </c>
      <c r="H44" s="2" t="s">
        <v>20</v>
      </c>
      <c r="I44" t="str">
        <f>IF(OR('Class Attendance'!Q44="At Risk",'PD Project'!G44="At Risk",'CSC Meeting Per Student'!E44="At Risk"),"Off Track","Normal")</f>
        <v>Off Track</v>
      </c>
    </row>
    <row r="45" spans="1:9" ht="13.2" x14ac:dyDescent="0.25">
      <c r="A45" s="7">
        <v>44</v>
      </c>
      <c r="B45" s="2" t="s">
        <v>144</v>
      </c>
      <c r="C45" s="2" t="s">
        <v>145</v>
      </c>
      <c r="D45" t="s">
        <v>821</v>
      </c>
      <c r="E45" s="2" t="s">
        <v>146</v>
      </c>
      <c r="F45" s="2" t="s">
        <v>57</v>
      </c>
      <c r="G45" s="2" t="s">
        <v>43</v>
      </c>
      <c r="H45" s="2" t="s">
        <v>20</v>
      </c>
      <c r="I45" t="str">
        <f>IF(OR('Class Attendance'!Q45="At Risk",'PD Project'!G45="At Risk",'CSC Meeting Per Student'!E45="At Risk"),"Off Track","Normal")</f>
        <v>Normal</v>
      </c>
    </row>
    <row r="46" spans="1:9" ht="13.2" x14ac:dyDescent="0.25">
      <c r="A46" s="7">
        <v>45</v>
      </c>
      <c r="B46" s="2" t="s">
        <v>147</v>
      </c>
      <c r="C46" s="2" t="s">
        <v>148</v>
      </c>
      <c r="D46" t="s">
        <v>825</v>
      </c>
      <c r="E46" s="2" t="s">
        <v>149</v>
      </c>
      <c r="F46" s="2" t="s">
        <v>51</v>
      </c>
      <c r="G46" s="2" t="s">
        <v>39</v>
      </c>
      <c r="H46" s="2" t="s">
        <v>20</v>
      </c>
      <c r="I46" t="str">
        <f>IF(OR('Class Attendance'!Q46="At Risk",'PD Project'!G46="At Risk",'CSC Meeting Per Student'!E46="At Risk"),"Off Track","Normal")</f>
        <v>Normal</v>
      </c>
    </row>
    <row r="47" spans="1:9" ht="13.2" x14ac:dyDescent="0.25">
      <c r="A47" s="7">
        <v>46</v>
      </c>
      <c r="B47" s="2" t="s">
        <v>150</v>
      </c>
      <c r="C47" s="2" t="s">
        <v>151</v>
      </c>
      <c r="D47" t="s">
        <v>824</v>
      </c>
      <c r="E47" s="2" t="s">
        <v>152</v>
      </c>
      <c r="F47" s="2" t="s">
        <v>51</v>
      </c>
      <c r="G47" s="2" t="s">
        <v>39</v>
      </c>
      <c r="H47" s="2" t="s">
        <v>20</v>
      </c>
      <c r="I47" t="str">
        <f>IF(OR('Class Attendance'!Q47="At Risk",'PD Project'!G47="At Risk",'CSC Meeting Per Student'!E47="At Risk"),"Off Track","Normal")</f>
        <v>Normal</v>
      </c>
    </row>
    <row r="48" spans="1:9" ht="13.2" x14ac:dyDescent="0.25">
      <c r="A48" s="7">
        <v>47</v>
      </c>
      <c r="B48" s="2" t="s">
        <v>153</v>
      </c>
      <c r="C48" s="2" t="s">
        <v>154</v>
      </c>
      <c r="D48" t="s">
        <v>751</v>
      </c>
      <c r="E48" s="2" t="s">
        <v>155</v>
      </c>
      <c r="F48" s="2" t="s">
        <v>57</v>
      </c>
      <c r="G48" s="2" t="s">
        <v>43</v>
      </c>
      <c r="H48" s="2" t="s">
        <v>20</v>
      </c>
      <c r="I48" t="str">
        <f>IF(OR('Class Attendance'!Q48="At Risk",'PD Project'!G48="At Risk",'CSC Meeting Per Student'!E48="At Risk"),"Off Track","Normal")</f>
        <v>Normal</v>
      </c>
    </row>
    <row r="49" spans="1:9" ht="13.2" x14ac:dyDescent="0.25">
      <c r="A49" s="7">
        <v>48</v>
      </c>
      <c r="B49" s="2" t="s">
        <v>156</v>
      </c>
      <c r="C49" s="2" t="s">
        <v>157</v>
      </c>
      <c r="D49" t="s">
        <v>830</v>
      </c>
      <c r="E49" s="2" t="s">
        <v>158</v>
      </c>
      <c r="F49" s="2" t="s">
        <v>9</v>
      </c>
      <c r="G49" s="2" t="s">
        <v>10</v>
      </c>
      <c r="H49" s="2" t="s">
        <v>20</v>
      </c>
      <c r="I49" t="str">
        <f>IF(OR('Class Attendance'!Q49="At Risk",'PD Project'!G49="At Risk",'CSC Meeting Per Student'!E49="At Risk"),"Off Track","Normal")</f>
        <v>Normal</v>
      </c>
    </row>
    <row r="50" spans="1:9" ht="13.2" x14ac:dyDescent="0.25">
      <c r="A50" s="7">
        <v>49</v>
      </c>
      <c r="B50" s="2" t="s">
        <v>159</v>
      </c>
      <c r="C50" s="2" t="s">
        <v>160</v>
      </c>
      <c r="D50" t="s">
        <v>682</v>
      </c>
      <c r="E50" s="2" t="s">
        <v>161</v>
      </c>
      <c r="F50" s="2" t="s">
        <v>57</v>
      </c>
      <c r="G50" s="2" t="s">
        <v>43</v>
      </c>
      <c r="H50" s="2" t="s">
        <v>20</v>
      </c>
      <c r="I50" t="str">
        <f>IF(OR('Class Attendance'!Q50="At Risk",'PD Project'!G50="At Risk",'CSC Meeting Per Student'!E50="At Risk"),"Off Track","Normal")</f>
        <v>Off Track</v>
      </c>
    </row>
    <row r="51" spans="1:9" ht="13.2" x14ac:dyDescent="0.25">
      <c r="A51" s="7">
        <v>50</v>
      </c>
      <c r="B51" s="2" t="s">
        <v>162</v>
      </c>
      <c r="C51" s="2" t="s">
        <v>163</v>
      </c>
      <c r="D51" t="s">
        <v>829</v>
      </c>
      <c r="E51" s="2" t="s">
        <v>164</v>
      </c>
      <c r="F51" s="2" t="s">
        <v>78</v>
      </c>
      <c r="G51" s="2" t="s">
        <v>16</v>
      </c>
      <c r="H51" s="2" t="s">
        <v>20</v>
      </c>
      <c r="I51" t="str">
        <f>IF(OR('Class Attendance'!Q51="At Risk",'PD Project'!G51="At Risk",'CSC Meeting Per Student'!E51="At Risk"),"Off Track","Normal")</f>
        <v>Normal</v>
      </c>
    </row>
    <row r="52" spans="1:9" ht="13.2" x14ac:dyDescent="0.25">
      <c r="A52" s="7">
        <v>51</v>
      </c>
      <c r="B52" s="2" t="s">
        <v>165</v>
      </c>
      <c r="C52" s="2" t="s">
        <v>166</v>
      </c>
      <c r="D52" t="s">
        <v>831</v>
      </c>
      <c r="E52" s="2" t="s">
        <v>167</v>
      </c>
      <c r="F52" s="2" t="s">
        <v>34</v>
      </c>
      <c r="G52" s="2" t="s">
        <v>16</v>
      </c>
      <c r="H52" s="2" t="s">
        <v>20</v>
      </c>
      <c r="I52" t="str">
        <f>IF(OR('Class Attendance'!Q52="At Risk",'PD Project'!G52="At Risk",'CSC Meeting Per Student'!E52="At Risk"),"Off Track","Normal")</f>
        <v>Normal</v>
      </c>
    </row>
    <row r="53" spans="1:9" ht="13.2" x14ac:dyDescent="0.25">
      <c r="A53" s="7">
        <v>52</v>
      </c>
      <c r="B53" s="2" t="s">
        <v>168</v>
      </c>
      <c r="C53" s="2" t="s">
        <v>169</v>
      </c>
      <c r="D53" t="s">
        <v>828</v>
      </c>
      <c r="E53" s="2" t="s">
        <v>170</v>
      </c>
      <c r="F53" s="2" t="s">
        <v>51</v>
      </c>
      <c r="G53" s="2" t="s">
        <v>39</v>
      </c>
      <c r="H53" s="2" t="s">
        <v>20</v>
      </c>
      <c r="I53" t="str">
        <f>IF(OR('Class Attendance'!Q53="At Risk",'PD Project'!G53="At Risk",'CSC Meeting Per Student'!E53="At Risk"),"Off Track","Normal")</f>
        <v>Off Track</v>
      </c>
    </row>
    <row r="54" spans="1:9" ht="13.2" x14ac:dyDescent="0.25">
      <c r="A54" s="7">
        <v>53</v>
      </c>
      <c r="B54" s="2" t="s">
        <v>171</v>
      </c>
      <c r="C54" s="2" t="s">
        <v>172</v>
      </c>
      <c r="D54" t="s">
        <v>819</v>
      </c>
      <c r="E54" s="2" t="s">
        <v>173</v>
      </c>
      <c r="F54" s="2" t="s">
        <v>15</v>
      </c>
      <c r="G54" s="2" t="s">
        <v>43</v>
      </c>
      <c r="H54" s="2" t="s">
        <v>20</v>
      </c>
      <c r="I54" t="str">
        <f>IF(OR('Class Attendance'!Q54="At Risk",'PD Project'!G54="At Risk",'CSC Meeting Per Student'!E54="At Risk"),"Off Track","Normal")</f>
        <v>Normal</v>
      </c>
    </row>
    <row r="55" spans="1:9" ht="13.2" x14ac:dyDescent="0.25">
      <c r="A55" s="7">
        <v>54</v>
      </c>
      <c r="B55" s="2" t="s">
        <v>174</v>
      </c>
      <c r="C55" s="2" t="s">
        <v>53</v>
      </c>
      <c r="D55" t="s">
        <v>814</v>
      </c>
      <c r="E55" s="2" t="s">
        <v>175</v>
      </c>
      <c r="F55" s="2" t="s">
        <v>34</v>
      </c>
      <c r="G55" s="2" t="s">
        <v>16</v>
      </c>
      <c r="H55" s="2" t="s">
        <v>20</v>
      </c>
      <c r="I55" t="str">
        <f>IF(OR('Class Attendance'!Q55="At Risk",'PD Project'!G55="At Risk",'CSC Meeting Per Student'!E55="At Risk"),"Off Track","Normal")</f>
        <v>Normal</v>
      </c>
    </row>
    <row r="56" spans="1:9" ht="13.2" x14ac:dyDescent="0.25">
      <c r="A56" s="7">
        <v>55</v>
      </c>
      <c r="B56" s="2" t="s">
        <v>176</v>
      </c>
      <c r="C56" s="2" t="s">
        <v>177</v>
      </c>
      <c r="D56" t="s">
        <v>812</v>
      </c>
      <c r="E56" s="2" t="s">
        <v>178</v>
      </c>
      <c r="F56" s="2" t="s">
        <v>9</v>
      </c>
      <c r="G56" s="2" t="s">
        <v>10</v>
      </c>
      <c r="H56" s="2" t="s">
        <v>20</v>
      </c>
      <c r="I56" t="str">
        <f>IF(OR('Class Attendance'!Q56="At Risk",'PD Project'!G56="At Risk",'CSC Meeting Per Student'!E56="At Risk"),"Off Track","Normal")</f>
        <v>Normal</v>
      </c>
    </row>
    <row r="57" spans="1:9" ht="13.2" x14ac:dyDescent="0.25">
      <c r="A57" s="7">
        <v>56</v>
      </c>
      <c r="B57" s="2" t="s">
        <v>179</v>
      </c>
      <c r="C57" s="2" t="s">
        <v>180</v>
      </c>
      <c r="D57" t="s">
        <v>841</v>
      </c>
      <c r="E57" s="2" t="s">
        <v>181</v>
      </c>
      <c r="F57" s="2" t="s">
        <v>34</v>
      </c>
      <c r="G57" s="2" t="s">
        <v>16</v>
      </c>
      <c r="H57" s="2" t="s">
        <v>20</v>
      </c>
      <c r="I57" t="str">
        <f>IF(OR('Class Attendance'!Q57="At Risk",'PD Project'!G57="At Risk",'CSC Meeting Per Student'!E57="At Risk"),"Off Track","Normal")</f>
        <v>Normal</v>
      </c>
    </row>
    <row r="58" spans="1:9" ht="13.2" x14ac:dyDescent="0.25">
      <c r="A58" s="7">
        <v>57</v>
      </c>
      <c r="B58" s="2" t="s">
        <v>182</v>
      </c>
      <c r="C58" s="2" t="s">
        <v>183</v>
      </c>
      <c r="D58" t="s">
        <v>817</v>
      </c>
      <c r="E58" s="2" t="s">
        <v>184</v>
      </c>
      <c r="F58" s="2" t="s">
        <v>24</v>
      </c>
      <c r="G58" s="2" t="s">
        <v>10</v>
      </c>
      <c r="H58" s="2" t="s">
        <v>20</v>
      </c>
      <c r="I58" t="str">
        <f>IF(OR('Class Attendance'!Q58="At Risk",'PD Project'!G58="At Risk",'CSC Meeting Per Student'!E58="At Risk"),"Off Track","Normal")</f>
        <v>Normal</v>
      </c>
    </row>
    <row r="59" spans="1:9" ht="13.2" x14ac:dyDescent="0.25">
      <c r="A59" s="7">
        <v>58</v>
      </c>
      <c r="B59" s="2" t="s">
        <v>185</v>
      </c>
      <c r="C59" s="2" t="s">
        <v>186</v>
      </c>
      <c r="D59" t="s">
        <v>759</v>
      </c>
      <c r="E59" s="2" t="s">
        <v>187</v>
      </c>
      <c r="F59" s="2" t="s">
        <v>34</v>
      </c>
      <c r="G59" s="2" t="s">
        <v>16</v>
      </c>
      <c r="H59" s="2" t="s">
        <v>20</v>
      </c>
      <c r="I59" t="str">
        <f>IF(OR('Class Attendance'!Q59="At Risk",'PD Project'!G59="At Risk",'CSC Meeting Per Student'!E59="At Risk"),"Off Track","Normal")</f>
        <v>Off Track</v>
      </c>
    </row>
    <row r="60" spans="1:9" ht="13.2" x14ac:dyDescent="0.25">
      <c r="A60" s="7">
        <v>59</v>
      </c>
      <c r="B60" s="2" t="s">
        <v>188</v>
      </c>
      <c r="C60" s="2" t="s">
        <v>189</v>
      </c>
      <c r="D60" t="s">
        <v>740</v>
      </c>
      <c r="E60" s="2" t="s">
        <v>190</v>
      </c>
      <c r="F60" s="2" t="s">
        <v>57</v>
      </c>
      <c r="G60" s="2" t="s">
        <v>43</v>
      </c>
      <c r="H60" s="2" t="s">
        <v>20</v>
      </c>
      <c r="I60" t="str">
        <f>IF(OR('Class Attendance'!Q60="At Risk",'PD Project'!G60="At Risk",'CSC Meeting Per Student'!E60="At Risk"),"Off Track","Normal")</f>
        <v>Normal</v>
      </c>
    </row>
    <row r="61" spans="1:9" ht="13.2" x14ac:dyDescent="0.25">
      <c r="A61" s="7">
        <v>60</v>
      </c>
      <c r="B61" s="2" t="s">
        <v>191</v>
      </c>
      <c r="C61" s="2" t="s">
        <v>192</v>
      </c>
      <c r="D61" t="s">
        <v>815</v>
      </c>
      <c r="E61" s="2" t="s">
        <v>193</v>
      </c>
      <c r="F61" s="2" t="s">
        <v>78</v>
      </c>
      <c r="G61" s="2" t="s">
        <v>39</v>
      </c>
      <c r="H61" s="2" t="s">
        <v>20</v>
      </c>
      <c r="I61" t="str">
        <f>IF(OR('Class Attendance'!Q61="At Risk",'PD Project'!G61="At Risk",'CSC Meeting Per Student'!E61="At Risk"),"Off Track","Normal")</f>
        <v>Normal</v>
      </c>
    </row>
    <row r="62" spans="1:9" ht="13.2" x14ac:dyDescent="0.25">
      <c r="A62" s="7">
        <v>61</v>
      </c>
      <c r="B62" s="2" t="s">
        <v>194</v>
      </c>
      <c r="C62" s="2" t="s">
        <v>195</v>
      </c>
      <c r="D62" t="s">
        <v>729</v>
      </c>
      <c r="E62" s="2" t="s">
        <v>196</v>
      </c>
      <c r="F62" s="2" t="s">
        <v>57</v>
      </c>
      <c r="G62" s="2" t="s">
        <v>43</v>
      </c>
      <c r="H62" s="2" t="s">
        <v>20</v>
      </c>
      <c r="I62" t="str">
        <f>IF(OR('Class Attendance'!Q62="At Risk",'PD Project'!G62="At Risk",'CSC Meeting Per Student'!E62="At Risk"),"Off Track","Normal")</f>
        <v>Normal</v>
      </c>
    </row>
    <row r="63" spans="1:9" ht="13.2" x14ac:dyDescent="0.25">
      <c r="A63" s="7">
        <v>62</v>
      </c>
      <c r="B63" s="2" t="s">
        <v>197</v>
      </c>
      <c r="C63" s="2" t="s">
        <v>198</v>
      </c>
      <c r="D63" t="s">
        <v>648</v>
      </c>
      <c r="E63" s="2" t="s">
        <v>199</v>
      </c>
      <c r="F63" s="2" t="s">
        <v>57</v>
      </c>
      <c r="G63" s="2" t="s">
        <v>43</v>
      </c>
      <c r="H63" s="2" t="s">
        <v>11</v>
      </c>
      <c r="I63" t="str">
        <f>IF(OR('Class Attendance'!Q63="At Risk",'PD Project'!G63="At Risk",'CSC Meeting Per Student'!E63="At Risk"),"Off Track","Normal")</f>
        <v>Off Track</v>
      </c>
    </row>
    <row r="64" spans="1:9" ht="13.2" x14ac:dyDescent="0.25">
      <c r="A64" s="7">
        <v>63</v>
      </c>
      <c r="B64" s="2" t="s">
        <v>200</v>
      </c>
      <c r="C64" s="2" t="s">
        <v>201</v>
      </c>
      <c r="D64" t="s">
        <v>689</v>
      </c>
      <c r="E64" s="2" t="s">
        <v>202</v>
      </c>
      <c r="F64" s="2" t="s">
        <v>51</v>
      </c>
      <c r="G64" s="2" t="s">
        <v>39</v>
      </c>
      <c r="H64" s="2" t="s">
        <v>20</v>
      </c>
      <c r="I64" t="str">
        <f>IF(OR('Class Attendance'!Q64="At Risk",'PD Project'!G64="At Risk",'CSC Meeting Per Student'!E64="At Risk"),"Off Track","Normal")</f>
        <v>Normal</v>
      </c>
    </row>
    <row r="65" spans="1:9" ht="13.2" x14ac:dyDescent="0.25">
      <c r="A65" s="7">
        <v>64</v>
      </c>
      <c r="B65" s="2" t="s">
        <v>203</v>
      </c>
      <c r="C65" s="2" t="s">
        <v>204</v>
      </c>
      <c r="D65" t="s">
        <v>811</v>
      </c>
      <c r="E65" s="2" t="s">
        <v>205</v>
      </c>
      <c r="F65" s="2" t="s">
        <v>51</v>
      </c>
      <c r="G65" s="2" t="s">
        <v>39</v>
      </c>
      <c r="H65" s="2" t="s">
        <v>20</v>
      </c>
      <c r="I65" t="str">
        <f>IF(OR('Class Attendance'!Q65="At Risk",'PD Project'!G65="At Risk",'CSC Meeting Per Student'!E65="At Risk"),"Off Track","Normal")</f>
        <v>Normal</v>
      </c>
    </row>
    <row r="66" spans="1:9" ht="13.2" x14ac:dyDescent="0.25">
      <c r="A66" s="7">
        <v>65</v>
      </c>
      <c r="B66" s="2" t="s">
        <v>206</v>
      </c>
      <c r="C66" s="2" t="s">
        <v>207</v>
      </c>
      <c r="D66" t="s">
        <v>810</v>
      </c>
      <c r="E66" s="2" t="s">
        <v>208</v>
      </c>
      <c r="F66" s="2" t="s">
        <v>9</v>
      </c>
      <c r="G66" s="2" t="s">
        <v>10</v>
      </c>
      <c r="H66" s="2" t="s">
        <v>20</v>
      </c>
      <c r="I66" t="str">
        <f>IF(OR('Class Attendance'!Q66="At Risk",'PD Project'!G66="At Risk",'CSC Meeting Per Student'!E66="At Risk"),"Off Track","Normal")</f>
        <v>Normal</v>
      </c>
    </row>
    <row r="67" spans="1:9" ht="13.2" x14ac:dyDescent="0.25">
      <c r="A67" s="7">
        <v>66</v>
      </c>
      <c r="B67" s="2" t="s">
        <v>209</v>
      </c>
      <c r="C67" s="2" t="s">
        <v>210</v>
      </c>
      <c r="D67" t="s">
        <v>809</v>
      </c>
      <c r="E67" s="2" t="s">
        <v>211</v>
      </c>
      <c r="F67" s="2" t="s">
        <v>51</v>
      </c>
      <c r="G67" s="2" t="s">
        <v>39</v>
      </c>
      <c r="H67" s="2" t="s">
        <v>20</v>
      </c>
      <c r="I67" t="str">
        <f>IF(OR('Class Attendance'!Q67="At Risk",'PD Project'!G67="At Risk",'CSC Meeting Per Student'!E67="At Risk"),"Off Track","Normal")</f>
        <v>Normal</v>
      </c>
    </row>
    <row r="68" spans="1:9" ht="13.2" x14ac:dyDescent="0.25">
      <c r="A68" s="7">
        <v>67</v>
      </c>
      <c r="B68" s="2" t="s">
        <v>212</v>
      </c>
      <c r="C68" s="2" t="s">
        <v>213</v>
      </c>
      <c r="D68" t="s">
        <v>700</v>
      </c>
      <c r="E68" s="2" t="s">
        <v>214</v>
      </c>
      <c r="F68" s="2" t="s">
        <v>38</v>
      </c>
      <c r="G68" s="2" t="s">
        <v>39</v>
      </c>
      <c r="H68" s="2" t="s">
        <v>20</v>
      </c>
      <c r="I68" t="str">
        <f>IF(OR('Class Attendance'!Q68="At Risk",'PD Project'!G68="At Risk",'CSC Meeting Per Student'!E68="At Risk"),"Off Track","Normal")</f>
        <v>Normal</v>
      </c>
    </row>
    <row r="69" spans="1:9" ht="13.2" x14ac:dyDescent="0.25">
      <c r="A69" s="7">
        <v>68</v>
      </c>
      <c r="B69" s="2" t="s">
        <v>215</v>
      </c>
      <c r="C69" s="2" t="s">
        <v>216</v>
      </c>
      <c r="D69" t="s">
        <v>806</v>
      </c>
      <c r="E69" s="2" t="s">
        <v>217</v>
      </c>
      <c r="F69" s="2" t="s">
        <v>51</v>
      </c>
      <c r="G69" s="2" t="s">
        <v>39</v>
      </c>
      <c r="H69" s="2" t="s">
        <v>20</v>
      </c>
      <c r="I69" t="str">
        <f>IF(OR('Class Attendance'!Q69="At Risk",'PD Project'!G69="At Risk",'CSC Meeting Per Student'!E69="At Risk"),"Off Track","Normal")</f>
        <v>Normal</v>
      </c>
    </row>
    <row r="70" spans="1:9" ht="13.2" x14ac:dyDescent="0.25">
      <c r="A70" s="7">
        <v>69</v>
      </c>
      <c r="B70" s="2" t="s">
        <v>218</v>
      </c>
      <c r="C70" s="2" t="s">
        <v>219</v>
      </c>
      <c r="D70" t="s">
        <v>805</v>
      </c>
      <c r="E70" s="2" t="s">
        <v>220</v>
      </c>
      <c r="F70" s="2" t="s">
        <v>51</v>
      </c>
      <c r="G70" s="2" t="s">
        <v>39</v>
      </c>
      <c r="H70" s="2" t="s">
        <v>20</v>
      </c>
      <c r="I70" t="str">
        <f>IF(OR('Class Attendance'!Q70="At Risk",'PD Project'!G70="At Risk",'CSC Meeting Per Student'!E70="At Risk"),"Off Track","Normal")</f>
        <v>Normal</v>
      </c>
    </row>
    <row r="71" spans="1:9" ht="13.2" x14ac:dyDescent="0.25">
      <c r="A71" s="7">
        <v>70</v>
      </c>
      <c r="B71" s="2" t="s">
        <v>221</v>
      </c>
      <c r="C71" s="2" t="s">
        <v>222</v>
      </c>
      <c r="D71" t="s">
        <v>804</v>
      </c>
      <c r="E71" s="2" t="s">
        <v>223</v>
      </c>
      <c r="F71" s="2" t="s">
        <v>38</v>
      </c>
      <c r="G71" s="2" t="s">
        <v>39</v>
      </c>
      <c r="H71" s="2" t="s">
        <v>20</v>
      </c>
      <c r="I71" t="str">
        <f>IF(OR('Class Attendance'!Q71="At Risk",'PD Project'!G71="At Risk",'CSC Meeting Per Student'!E71="At Risk"),"Off Track","Normal")</f>
        <v>Normal</v>
      </c>
    </row>
    <row r="72" spans="1:9" ht="13.2" x14ac:dyDescent="0.25">
      <c r="A72" s="7">
        <v>71</v>
      </c>
      <c r="B72" s="2" t="s">
        <v>224</v>
      </c>
      <c r="C72" s="2" t="s">
        <v>225</v>
      </c>
      <c r="D72" t="s">
        <v>803</v>
      </c>
      <c r="E72" s="2" t="s">
        <v>226</v>
      </c>
      <c r="F72" s="2" t="s">
        <v>78</v>
      </c>
      <c r="G72" s="2" t="s">
        <v>16</v>
      </c>
      <c r="H72" s="2" t="s">
        <v>11</v>
      </c>
      <c r="I72" t="str">
        <f>IF(OR('Class Attendance'!Q72="At Risk",'PD Project'!G72="At Risk",'CSC Meeting Per Student'!E72="At Risk"),"Off Track","Normal")</f>
        <v>Normal</v>
      </c>
    </row>
    <row r="73" spans="1:9" ht="13.2" x14ac:dyDescent="0.25">
      <c r="A73" s="7">
        <v>72</v>
      </c>
      <c r="B73" s="2" t="s">
        <v>227</v>
      </c>
      <c r="C73" s="2" t="s">
        <v>228</v>
      </c>
      <c r="D73" t="s">
        <v>799</v>
      </c>
      <c r="E73" s="2" t="s">
        <v>229</v>
      </c>
      <c r="F73" s="2" t="s">
        <v>38</v>
      </c>
      <c r="G73" s="2" t="s">
        <v>39</v>
      </c>
      <c r="H73" s="2" t="s">
        <v>20</v>
      </c>
      <c r="I73" t="str">
        <f>IF(OR('Class Attendance'!Q73="At Risk",'PD Project'!G73="At Risk",'CSC Meeting Per Student'!E73="At Risk"),"Off Track","Normal")</f>
        <v>Normal</v>
      </c>
    </row>
    <row r="74" spans="1:9" ht="13.2" x14ac:dyDescent="0.25">
      <c r="A74" s="7">
        <v>73</v>
      </c>
      <c r="B74" s="2" t="s">
        <v>230</v>
      </c>
      <c r="C74" s="2" t="s">
        <v>231</v>
      </c>
      <c r="D74" t="s">
        <v>798</v>
      </c>
      <c r="E74" s="2" t="s">
        <v>232</v>
      </c>
      <c r="F74" s="2" t="s">
        <v>57</v>
      </c>
      <c r="G74" s="2" t="s">
        <v>43</v>
      </c>
      <c r="H74" s="2" t="s">
        <v>20</v>
      </c>
      <c r="I74" t="str">
        <f>IF(OR('Class Attendance'!Q74="At Risk",'PD Project'!G74="At Risk",'CSC Meeting Per Student'!E74="At Risk"),"Off Track","Normal")</f>
        <v>Normal</v>
      </c>
    </row>
    <row r="75" spans="1:9" ht="13.2" x14ac:dyDescent="0.25">
      <c r="A75" s="7">
        <v>74</v>
      </c>
      <c r="B75" s="2" t="s">
        <v>233</v>
      </c>
      <c r="C75" s="2" t="s">
        <v>234</v>
      </c>
      <c r="D75" t="s">
        <v>681</v>
      </c>
      <c r="E75" s="2" t="s">
        <v>235</v>
      </c>
      <c r="F75" s="2" t="s">
        <v>38</v>
      </c>
      <c r="G75" s="2" t="s">
        <v>39</v>
      </c>
      <c r="H75" s="2" t="s">
        <v>11</v>
      </c>
      <c r="I75" t="str">
        <f>IF(OR('Class Attendance'!Q75="At Risk",'PD Project'!G75="At Risk",'CSC Meeting Per Student'!E75="At Risk"),"Off Track","Normal")</f>
        <v>Off Track</v>
      </c>
    </row>
    <row r="76" spans="1:9" ht="13.2" x14ac:dyDescent="0.25">
      <c r="A76" s="7">
        <v>75</v>
      </c>
      <c r="B76" s="2" t="s">
        <v>236</v>
      </c>
      <c r="C76" s="2" t="s">
        <v>237</v>
      </c>
      <c r="D76" t="s">
        <v>796</v>
      </c>
      <c r="E76" s="2" t="s">
        <v>238</v>
      </c>
      <c r="F76" s="2" t="s">
        <v>24</v>
      </c>
      <c r="G76" s="2" t="s">
        <v>10</v>
      </c>
      <c r="H76" s="2" t="s">
        <v>11</v>
      </c>
      <c r="I76" t="str">
        <f>IF(OR('Class Attendance'!Q76="At Risk",'PD Project'!G76="At Risk",'CSC Meeting Per Student'!E76="At Risk"),"Off Track","Normal")</f>
        <v>Normal</v>
      </c>
    </row>
    <row r="77" spans="1:9" ht="13.2" x14ac:dyDescent="0.25">
      <c r="A77" s="7">
        <v>76</v>
      </c>
      <c r="B77" s="2" t="s">
        <v>239</v>
      </c>
      <c r="C77" s="2" t="s">
        <v>228</v>
      </c>
      <c r="D77" t="s">
        <v>861</v>
      </c>
      <c r="E77" s="2" t="s">
        <v>240</v>
      </c>
      <c r="F77" s="2" t="s">
        <v>24</v>
      </c>
      <c r="G77" s="2" t="s">
        <v>10</v>
      </c>
      <c r="H77" s="2" t="s">
        <v>11</v>
      </c>
      <c r="I77" t="str">
        <f>IF(OR('Class Attendance'!Q77="At Risk",'PD Project'!G77="At Risk",'CSC Meeting Per Student'!E77="At Risk"),"Off Track","Normal")</f>
        <v>Normal</v>
      </c>
    </row>
    <row r="78" spans="1:9" ht="13.2" x14ac:dyDescent="0.25">
      <c r="A78" s="7">
        <v>77</v>
      </c>
      <c r="B78" s="2" t="s">
        <v>241</v>
      </c>
      <c r="C78" s="2" t="s">
        <v>242</v>
      </c>
      <c r="D78" t="s">
        <v>730</v>
      </c>
      <c r="E78" s="2" t="s">
        <v>243</v>
      </c>
      <c r="F78" s="2" t="s">
        <v>15</v>
      </c>
      <c r="G78" s="2" t="s">
        <v>16</v>
      </c>
      <c r="H78" s="2" t="s">
        <v>11</v>
      </c>
      <c r="I78" t="str">
        <f>IF(OR('Class Attendance'!Q78="At Risk",'PD Project'!G78="At Risk",'CSC Meeting Per Student'!E78="At Risk"),"Off Track","Normal")</f>
        <v>Normal</v>
      </c>
    </row>
    <row r="79" spans="1:9" ht="13.2" x14ac:dyDescent="0.25">
      <c r="A79" s="7">
        <v>78</v>
      </c>
      <c r="B79" s="2" t="s">
        <v>241</v>
      </c>
      <c r="C79" s="2" t="s">
        <v>244</v>
      </c>
      <c r="D79" t="s">
        <v>795</v>
      </c>
      <c r="E79" s="2" t="s">
        <v>245</v>
      </c>
      <c r="F79" s="2" t="s">
        <v>57</v>
      </c>
      <c r="G79" s="2" t="s">
        <v>43</v>
      </c>
      <c r="H79" s="2" t="s">
        <v>20</v>
      </c>
      <c r="I79" t="str">
        <f>IF(OR('Class Attendance'!Q79="At Risk",'PD Project'!G79="At Risk",'CSC Meeting Per Student'!E79="At Risk"),"Off Track","Normal")</f>
        <v>Normal</v>
      </c>
    </row>
    <row r="80" spans="1:9" ht="13.2" x14ac:dyDescent="0.25">
      <c r="A80" s="7">
        <v>79</v>
      </c>
      <c r="B80" s="2" t="s">
        <v>246</v>
      </c>
      <c r="C80" s="2" t="s">
        <v>247</v>
      </c>
      <c r="D80" t="s">
        <v>792</v>
      </c>
      <c r="E80" s="2" t="s">
        <v>248</v>
      </c>
      <c r="F80" s="2" t="s">
        <v>24</v>
      </c>
      <c r="G80" s="2" t="s">
        <v>10</v>
      </c>
      <c r="H80" s="2" t="s">
        <v>20</v>
      </c>
      <c r="I80" t="str">
        <f>IF(OR('Class Attendance'!Q80="At Risk",'PD Project'!G80="At Risk",'CSC Meeting Per Student'!E80="At Risk"),"Off Track","Normal")</f>
        <v>Off Track</v>
      </c>
    </row>
    <row r="81" spans="1:9" ht="13.2" x14ac:dyDescent="0.25">
      <c r="A81" s="7">
        <v>80</v>
      </c>
      <c r="B81" s="2" t="s">
        <v>249</v>
      </c>
      <c r="C81" s="2" t="s">
        <v>250</v>
      </c>
      <c r="D81" t="s">
        <v>794</v>
      </c>
      <c r="E81" s="2" t="s">
        <v>251</v>
      </c>
      <c r="F81" s="2" t="s">
        <v>9</v>
      </c>
      <c r="G81" s="2" t="s">
        <v>10</v>
      </c>
      <c r="H81" s="2" t="s">
        <v>20</v>
      </c>
      <c r="I81" t="str">
        <f>IF(OR('Class Attendance'!Q81="At Risk",'PD Project'!G81="At Risk",'CSC Meeting Per Student'!E81="At Risk"),"Off Track","Normal")</f>
        <v>Off Track</v>
      </c>
    </row>
    <row r="82" spans="1:9" ht="13.2" x14ac:dyDescent="0.25">
      <c r="A82" s="7">
        <v>81</v>
      </c>
      <c r="B82" s="2" t="s">
        <v>252</v>
      </c>
      <c r="C82" s="2" t="s">
        <v>253</v>
      </c>
      <c r="D82" t="s">
        <v>771</v>
      </c>
      <c r="E82" s="2" t="s">
        <v>254</v>
      </c>
      <c r="F82" s="2" t="s">
        <v>34</v>
      </c>
      <c r="G82" s="2" t="s">
        <v>16</v>
      </c>
      <c r="H82" s="2" t="s">
        <v>20</v>
      </c>
      <c r="I82" t="str">
        <f>IF(OR('Class Attendance'!Q82="At Risk",'PD Project'!G82="At Risk",'CSC Meeting Per Student'!E82="At Risk"),"Off Track","Normal")</f>
        <v>Normal</v>
      </c>
    </row>
    <row r="83" spans="1:9" ht="13.2" x14ac:dyDescent="0.25">
      <c r="A83" s="7">
        <v>82</v>
      </c>
      <c r="B83" s="2" t="s">
        <v>255</v>
      </c>
      <c r="C83" s="2" t="s">
        <v>256</v>
      </c>
      <c r="D83" t="s">
        <v>791</v>
      </c>
      <c r="E83" s="2" t="s">
        <v>257</v>
      </c>
      <c r="F83" s="2" t="s">
        <v>9</v>
      </c>
      <c r="G83" s="2" t="s">
        <v>10</v>
      </c>
      <c r="H83" s="2" t="s">
        <v>20</v>
      </c>
      <c r="I83" t="str">
        <f>IF(OR('Class Attendance'!Q83="At Risk",'PD Project'!G83="At Risk",'CSC Meeting Per Student'!E83="At Risk"),"Off Track","Normal")</f>
        <v>Normal</v>
      </c>
    </row>
    <row r="84" spans="1:9" ht="13.2" x14ac:dyDescent="0.25">
      <c r="A84" s="7">
        <v>83</v>
      </c>
      <c r="B84" s="2" t="s">
        <v>258</v>
      </c>
      <c r="C84" s="2" t="s">
        <v>259</v>
      </c>
      <c r="D84" t="s">
        <v>789</v>
      </c>
      <c r="E84" s="2" t="s">
        <v>260</v>
      </c>
      <c r="F84" s="2" t="s">
        <v>38</v>
      </c>
      <c r="G84" s="2" t="s">
        <v>39</v>
      </c>
      <c r="H84" s="2" t="s">
        <v>20</v>
      </c>
      <c r="I84" t="str">
        <f>IF(OR('Class Attendance'!Q84="At Risk",'PD Project'!G84="At Risk",'CSC Meeting Per Student'!E84="At Risk"),"Off Track","Normal")</f>
        <v>Normal</v>
      </c>
    </row>
    <row r="85" spans="1:9" ht="13.2" x14ac:dyDescent="0.25">
      <c r="A85" s="7">
        <v>84</v>
      </c>
      <c r="B85" s="2" t="s">
        <v>261</v>
      </c>
      <c r="C85" s="2" t="s">
        <v>160</v>
      </c>
      <c r="D85" t="s">
        <v>790</v>
      </c>
      <c r="E85" s="2" t="s">
        <v>262</v>
      </c>
      <c r="F85" s="2" t="s">
        <v>47</v>
      </c>
      <c r="G85" s="2" t="s">
        <v>43</v>
      </c>
      <c r="H85" s="2" t="s">
        <v>20</v>
      </c>
      <c r="I85" t="str">
        <f>IF(OR('Class Attendance'!Q85="At Risk",'PD Project'!G85="At Risk",'CSC Meeting Per Student'!E85="At Risk"),"Off Track","Normal")</f>
        <v>Off Track</v>
      </c>
    </row>
    <row r="86" spans="1:9" ht="13.2" x14ac:dyDescent="0.25">
      <c r="A86" s="7">
        <v>85</v>
      </c>
      <c r="B86" s="2" t="s">
        <v>263</v>
      </c>
      <c r="C86" s="2" t="s">
        <v>160</v>
      </c>
      <c r="D86" t="s">
        <v>788</v>
      </c>
      <c r="E86" s="2" t="s">
        <v>264</v>
      </c>
      <c r="F86" s="2" t="s">
        <v>78</v>
      </c>
      <c r="G86" s="2" t="s">
        <v>16</v>
      </c>
      <c r="H86" s="2" t="s">
        <v>20</v>
      </c>
      <c r="I86" t="str">
        <f>IF(OR('Class Attendance'!Q86="At Risk",'PD Project'!G86="At Risk",'CSC Meeting Per Student'!E86="At Risk"),"Off Track","Normal")</f>
        <v>Normal</v>
      </c>
    </row>
    <row r="87" spans="1:9" ht="13.2" x14ac:dyDescent="0.25">
      <c r="A87" s="7">
        <v>86</v>
      </c>
      <c r="B87" s="2" t="s">
        <v>265</v>
      </c>
      <c r="C87" s="2" t="s">
        <v>266</v>
      </c>
      <c r="D87" t="s">
        <v>785</v>
      </c>
      <c r="E87" s="2" t="s">
        <v>267</v>
      </c>
      <c r="F87" s="2" t="s">
        <v>38</v>
      </c>
      <c r="G87" s="2" t="s">
        <v>39</v>
      </c>
      <c r="H87" s="2" t="s">
        <v>20</v>
      </c>
      <c r="I87" t="str">
        <f>IF(OR('Class Attendance'!Q87="At Risk",'PD Project'!G87="At Risk",'CSC Meeting Per Student'!E87="At Risk"),"Off Track","Normal")</f>
        <v>Normal</v>
      </c>
    </row>
    <row r="88" spans="1:9" ht="13.2" x14ac:dyDescent="0.25">
      <c r="A88" s="7">
        <v>87</v>
      </c>
      <c r="B88" s="2" t="s">
        <v>268</v>
      </c>
      <c r="C88" s="2" t="s">
        <v>269</v>
      </c>
      <c r="D88" t="s">
        <v>784</v>
      </c>
      <c r="E88" s="2" t="s">
        <v>270</v>
      </c>
      <c r="F88" s="2" t="s">
        <v>34</v>
      </c>
      <c r="G88" s="2" t="s">
        <v>16</v>
      </c>
      <c r="H88" s="2" t="s">
        <v>20</v>
      </c>
      <c r="I88" t="str">
        <f>IF(OR('Class Attendance'!Q88="At Risk",'PD Project'!G88="At Risk",'CSC Meeting Per Student'!E88="At Risk"),"Off Track","Normal")</f>
        <v>Normal</v>
      </c>
    </row>
    <row r="89" spans="1:9" ht="13.2" x14ac:dyDescent="0.25">
      <c r="A89" s="7">
        <v>88</v>
      </c>
      <c r="B89" s="2" t="s">
        <v>271</v>
      </c>
      <c r="C89" s="2" t="s">
        <v>272</v>
      </c>
      <c r="D89" t="s">
        <v>717</v>
      </c>
      <c r="E89" s="2" t="s">
        <v>273</v>
      </c>
      <c r="F89" s="2" t="s">
        <v>24</v>
      </c>
      <c r="G89" s="2" t="s">
        <v>10</v>
      </c>
      <c r="H89" s="2" t="s">
        <v>20</v>
      </c>
      <c r="I89" t="str">
        <f>IF(OR('Class Attendance'!Q89="At Risk",'PD Project'!G89="At Risk",'CSC Meeting Per Student'!E89="At Risk"),"Off Track","Normal")</f>
        <v>Normal</v>
      </c>
    </row>
    <row r="90" spans="1:9" ht="13.2" x14ac:dyDescent="0.25">
      <c r="A90" s="7">
        <v>89</v>
      </c>
      <c r="B90" s="2" t="s">
        <v>274</v>
      </c>
      <c r="C90" s="2" t="s">
        <v>275</v>
      </c>
      <c r="D90" t="s">
        <v>670</v>
      </c>
      <c r="E90" s="2" t="s">
        <v>276</v>
      </c>
      <c r="F90" s="2" t="s">
        <v>78</v>
      </c>
      <c r="G90" s="2" t="s">
        <v>16</v>
      </c>
      <c r="H90" s="2" t="s">
        <v>20</v>
      </c>
      <c r="I90" t="str">
        <f>IF(OR('Class Attendance'!Q90="At Risk",'PD Project'!G90="At Risk",'CSC Meeting Per Student'!E90="At Risk"),"Off Track","Normal")</f>
        <v>Normal</v>
      </c>
    </row>
    <row r="91" spans="1:9" ht="13.2" x14ac:dyDescent="0.25">
      <c r="A91" s="7">
        <v>90</v>
      </c>
      <c r="B91" s="2" t="s">
        <v>277</v>
      </c>
      <c r="C91" s="2" t="s">
        <v>278</v>
      </c>
      <c r="D91" t="s">
        <v>847</v>
      </c>
      <c r="E91" s="2" t="s">
        <v>279</v>
      </c>
      <c r="F91" s="2" t="s">
        <v>38</v>
      </c>
      <c r="G91" s="2" t="s">
        <v>39</v>
      </c>
      <c r="H91" s="2" t="s">
        <v>20</v>
      </c>
      <c r="I91" t="str">
        <f>IF(OR('Class Attendance'!Q91="At Risk",'PD Project'!G91="At Risk",'CSC Meeting Per Student'!E91="At Risk"),"Off Track","Normal")</f>
        <v>Normal</v>
      </c>
    </row>
    <row r="92" spans="1:9" ht="13.2" x14ac:dyDescent="0.25">
      <c r="A92" s="7">
        <v>91</v>
      </c>
      <c r="B92" s="2" t="s">
        <v>280</v>
      </c>
      <c r="C92" s="2" t="s">
        <v>281</v>
      </c>
      <c r="D92" t="s">
        <v>826</v>
      </c>
      <c r="E92" s="2" t="s">
        <v>282</v>
      </c>
      <c r="F92" s="2" t="s">
        <v>51</v>
      </c>
      <c r="G92" s="2" t="s">
        <v>39</v>
      </c>
      <c r="H92" s="2" t="s">
        <v>20</v>
      </c>
      <c r="I92" t="str">
        <f>IF(OR('Class Attendance'!Q92="At Risk",'PD Project'!G92="At Risk",'CSC Meeting Per Student'!E92="At Risk"),"Off Track","Normal")</f>
        <v>Normal</v>
      </c>
    </row>
    <row r="93" spans="1:9" ht="13.2" x14ac:dyDescent="0.25">
      <c r="A93" s="7">
        <v>92</v>
      </c>
      <c r="B93" s="2" t="s">
        <v>283</v>
      </c>
      <c r="C93" s="2" t="s">
        <v>284</v>
      </c>
      <c r="D93" t="s">
        <v>782</v>
      </c>
      <c r="E93" s="2" t="s">
        <v>285</v>
      </c>
      <c r="F93" s="2" t="s">
        <v>9</v>
      </c>
      <c r="G93" s="2" t="s">
        <v>10</v>
      </c>
      <c r="H93" s="2" t="s">
        <v>20</v>
      </c>
      <c r="I93" t="str">
        <f>IF(OR('Class Attendance'!Q93="At Risk",'PD Project'!G93="At Risk",'CSC Meeting Per Student'!E93="At Risk"),"Off Track","Normal")</f>
        <v>Normal</v>
      </c>
    </row>
    <row r="94" spans="1:9" ht="13.2" x14ac:dyDescent="0.25">
      <c r="A94" s="7">
        <v>93</v>
      </c>
      <c r="B94" s="2" t="s">
        <v>286</v>
      </c>
      <c r="C94" s="2" t="s">
        <v>287</v>
      </c>
      <c r="D94" t="s">
        <v>813</v>
      </c>
      <c r="E94" s="2" t="s">
        <v>288</v>
      </c>
      <c r="F94" s="2" t="s">
        <v>38</v>
      </c>
      <c r="G94" s="2" t="s">
        <v>39</v>
      </c>
      <c r="H94" s="2" t="s">
        <v>20</v>
      </c>
      <c r="I94" t="str">
        <f>IF(OR('Class Attendance'!Q94="At Risk",'PD Project'!G94="At Risk",'CSC Meeting Per Student'!E94="At Risk"),"Off Track","Normal")</f>
        <v>Normal</v>
      </c>
    </row>
    <row r="95" spans="1:9" ht="13.2" x14ac:dyDescent="0.25">
      <c r="A95" s="7">
        <v>94</v>
      </c>
      <c r="B95" s="2" t="s">
        <v>289</v>
      </c>
      <c r="C95" s="2" t="s">
        <v>290</v>
      </c>
      <c r="D95" t="s">
        <v>781</v>
      </c>
      <c r="E95" s="2" t="s">
        <v>291</v>
      </c>
      <c r="F95" s="2" t="s">
        <v>78</v>
      </c>
      <c r="G95" s="2" t="s">
        <v>39</v>
      </c>
      <c r="H95" s="2" t="s">
        <v>20</v>
      </c>
      <c r="I95" t="str">
        <f>IF(OR('Class Attendance'!Q95="At Risk",'PD Project'!G95="At Risk",'CSC Meeting Per Student'!E95="At Risk"),"Off Track","Normal")</f>
        <v>Off Track</v>
      </c>
    </row>
    <row r="96" spans="1:9" ht="13.2" x14ac:dyDescent="0.25">
      <c r="A96" s="7">
        <v>95</v>
      </c>
      <c r="B96" s="2" t="s">
        <v>292</v>
      </c>
      <c r="C96" s="2" t="s">
        <v>293</v>
      </c>
      <c r="D96" t="s">
        <v>801</v>
      </c>
      <c r="E96" s="2" t="s">
        <v>294</v>
      </c>
      <c r="F96" s="2" t="s">
        <v>24</v>
      </c>
      <c r="G96" s="2" t="s">
        <v>10</v>
      </c>
      <c r="H96" s="2" t="s">
        <v>20</v>
      </c>
      <c r="I96" t="str">
        <f>IF(OR('Class Attendance'!Q96="At Risk",'PD Project'!G96="At Risk",'CSC Meeting Per Student'!E96="At Risk"),"Off Track","Normal")</f>
        <v>Normal</v>
      </c>
    </row>
    <row r="97" spans="1:9" ht="13.2" x14ac:dyDescent="0.25">
      <c r="A97" s="7">
        <v>96</v>
      </c>
      <c r="B97" s="2" t="s">
        <v>295</v>
      </c>
      <c r="C97" s="2" t="s">
        <v>296</v>
      </c>
      <c r="D97" t="s">
        <v>780</v>
      </c>
      <c r="E97" s="2" t="s">
        <v>297</v>
      </c>
      <c r="F97" s="2" t="s">
        <v>47</v>
      </c>
      <c r="G97" s="2" t="s">
        <v>43</v>
      </c>
      <c r="H97" s="2" t="s">
        <v>20</v>
      </c>
      <c r="I97" t="str">
        <f>IF(OR('Class Attendance'!Q97="At Risk",'PD Project'!G97="At Risk",'CSC Meeting Per Student'!E97="At Risk"),"Off Track","Normal")</f>
        <v>Normal</v>
      </c>
    </row>
    <row r="98" spans="1:9" ht="13.2" x14ac:dyDescent="0.25">
      <c r="A98" s="7">
        <v>97</v>
      </c>
      <c r="B98" s="2" t="s">
        <v>298</v>
      </c>
      <c r="C98" s="2" t="s">
        <v>299</v>
      </c>
      <c r="D98" t="s">
        <v>793</v>
      </c>
      <c r="E98" s="2" t="s">
        <v>300</v>
      </c>
      <c r="F98" s="2" t="s">
        <v>38</v>
      </c>
      <c r="G98" s="2" t="s">
        <v>39</v>
      </c>
      <c r="H98" s="2" t="s">
        <v>20</v>
      </c>
      <c r="I98" t="str">
        <f>IF(OR('Class Attendance'!Q98="At Risk",'PD Project'!G98="At Risk",'CSC Meeting Per Student'!E98="At Risk"),"Off Track","Normal")</f>
        <v>Normal</v>
      </c>
    </row>
    <row r="99" spans="1:9" ht="13.2" x14ac:dyDescent="0.25">
      <c r="A99" s="7">
        <v>98</v>
      </c>
      <c r="B99" s="2" t="s">
        <v>301</v>
      </c>
      <c r="C99" s="2" t="s">
        <v>302</v>
      </c>
      <c r="D99" t="s">
        <v>779</v>
      </c>
      <c r="E99" s="2" t="s">
        <v>303</v>
      </c>
      <c r="F99" s="2" t="s">
        <v>34</v>
      </c>
      <c r="G99" s="2" t="s">
        <v>16</v>
      </c>
      <c r="H99" s="2" t="s">
        <v>20</v>
      </c>
      <c r="I99" t="str">
        <f>IF(OR('Class Attendance'!Q99="At Risk",'PD Project'!G99="At Risk",'CSC Meeting Per Student'!E99="At Risk"),"Off Track","Normal")</f>
        <v>Normal</v>
      </c>
    </row>
    <row r="100" spans="1:9" ht="13.2" x14ac:dyDescent="0.25">
      <c r="A100" s="7">
        <v>99</v>
      </c>
      <c r="B100" s="2" t="s">
        <v>304</v>
      </c>
      <c r="C100" s="2" t="s">
        <v>305</v>
      </c>
      <c r="D100" t="s">
        <v>712</v>
      </c>
      <c r="E100" s="2" t="s">
        <v>306</v>
      </c>
      <c r="F100" s="2" t="s">
        <v>34</v>
      </c>
      <c r="G100" s="2" t="s">
        <v>16</v>
      </c>
      <c r="H100" s="2" t="s">
        <v>20</v>
      </c>
      <c r="I100" t="str">
        <f>IF(OR('Class Attendance'!Q100="At Risk",'PD Project'!G100="At Risk",'CSC Meeting Per Student'!E100="At Risk"),"Off Track","Normal")</f>
        <v>Normal</v>
      </c>
    </row>
    <row r="101" spans="1:9" ht="13.2" x14ac:dyDescent="0.25">
      <c r="A101" s="7">
        <v>100</v>
      </c>
      <c r="B101" s="2" t="s">
        <v>304</v>
      </c>
      <c r="C101" s="2" t="s">
        <v>307</v>
      </c>
      <c r="D101" t="s">
        <v>659</v>
      </c>
      <c r="E101" s="2" t="s">
        <v>308</v>
      </c>
      <c r="F101" s="2" t="s">
        <v>9</v>
      </c>
      <c r="G101" s="2" t="s">
        <v>10</v>
      </c>
      <c r="H101" s="2" t="s">
        <v>20</v>
      </c>
      <c r="I101" t="str">
        <f>IF(OR('Class Attendance'!Q101="At Risk",'PD Project'!G101="At Risk",'CSC Meeting Per Student'!E101="At Risk"),"Off Track","Normal")</f>
        <v>Off Track</v>
      </c>
    </row>
    <row r="102" spans="1:9" ht="13.2" x14ac:dyDescent="0.25">
      <c r="A102" s="7">
        <v>101</v>
      </c>
      <c r="B102" s="2" t="s">
        <v>309</v>
      </c>
      <c r="C102" s="2" t="s">
        <v>310</v>
      </c>
      <c r="D102" t="s">
        <v>778</v>
      </c>
      <c r="E102" s="2" t="s">
        <v>311</v>
      </c>
      <c r="F102" s="2" t="s">
        <v>34</v>
      </c>
      <c r="G102" s="2" t="s">
        <v>16</v>
      </c>
      <c r="H102" s="2" t="s">
        <v>20</v>
      </c>
      <c r="I102" t="str">
        <f>IF(OR('Class Attendance'!Q102="At Risk",'PD Project'!G102="At Risk",'CSC Meeting Per Student'!E102="At Risk"),"Off Track","Normal")</f>
        <v>Normal</v>
      </c>
    </row>
    <row r="103" spans="1:9" ht="13.2" x14ac:dyDescent="0.25">
      <c r="A103" s="7">
        <v>102</v>
      </c>
      <c r="B103" s="2" t="s">
        <v>312</v>
      </c>
      <c r="C103" s="2" t="s">
        <v>313</v>
      </c>
      <c r="D103" t="s">
        <v>787</v>
      </c>
      <c r="E103" s="2" t="s">
        <v>314</v>
      </c>
      <c r="F103" s="2" t="s">
        <v>78</v>
      </c>
      <c r="G103" s="2" t="s">
        <v>16</v>
      </c>
      <c r="H103" s="2" t="s">
        <v>20</v>
      </c>
      <c r="I103" t="str">
        <f>IF(OR('Class Attendance'!Q103="At Risk",'PD Project'!G103="At Risk",'CSC Meeting Per Student'!E103="At Risk"),"Off Track","Normal")</f>
        <v>Normal</v>
      </c>
    </row>
    <row r="104" spans="1:9" ht="13.2" x14ac:dyDescent="0.25">
      <c r="A104" s="7">
        <v>103</v>
      </c>
      <c r="B104" s="2" t="s">
        <v>312</v>
      </c>
      <c r="C104" s="2" t="s">
        <v>315</v>
      </c>
      <c r="D104" t="s">
        <v>840</v>
      </c>
      <c r="E104" s="2" t="s">
        <v>316</v>
      </c>
      <c r="F104" s="2" t="s">
        <v>47</v>
      </c>
      <c r="G104" s="2" t="s">
        <v>43</v>
      </c>
      <c r="H104" s="2" t="s">
        <v>20</v>
      </c>
      <c r="I104" t="str">
        <f>IF(OR('Class Attendance'!Q104="At Risk",'PD Project'!G104="At Risk",'CSC Meeting Per Student'!E104="At Risk"),"Off Track","Normal")</f>
        <v>Normal</v>
      </c>
    </row>
    <row r="105" spans="1:9" ht="13.2" x14ac:dyDescent="0.25">
      <c r="A105" s="7">
        <v>104</v>
      </c>
      <c r="B105" s="2" t="s">
        <v>317</v>
      </c>
      <c r="C105" s="2" t="s">
        <v>318</v>
      </c>
      <c r="D105" t="s">
        <v>776</v>
      </c>
      <c r="E105" s="2" t="s">
        <v>319</v>
      </c>
      <c r="F105" s="2" t="s">
        <v>51</v>
      </c>
      <c r="G105" s="2" t="s">
        <v>39</v>
      </c>
      <c r="H105" s="2" t="s">
        <v>20</v>
      </c>
      <c r="I105" t="str">
        <f>IF(OR('Class Attendance'!Q105="At Risk",'PD Project'!G105="At Risk",'CSC Meeting Per Student'!E105="At Risk"),"Off Track","Normal")</f>
        <v>Normal</v>
      </c>
    </row>
    <row r="106" spans="1:9" ht="13.2" x14ac:dyDescent="0.25">
      <c r="A106" s="7">
        <v>105</v>
      </c>
      <c r="B106" s="2" t="s">
        <v>320</v>
      </c>
      <c r="C106" s="2" t="s">
        <v>321</v>
      </c>
      <c r="D106" t="s">
        <v>774</v>
      </c>
      <c r="E106" s="2" t="s">
        <v>322</v>
      </c>
      <c r="F106" s="2" t="s">
        <v>24</v>
      </c>
      <c r="G106" s="2" t="s">
        <v>43</v>
      </c>
      <c r="H106" s="2" t="s">
        <v>20</v>
      </c>
      <c r="I106" t="str">
        <f>IF(OR('Class Attendance'!Q106="At Risk",'PD Project'!G106="At Risk",'CSC Meeting Per Student'!E106="At Risk"),"Off Track","Normal")</f>
        <v>Normal</v>
      </c>
    </row>
    <row r="107" spans="1:9" ht="13.2" x14ac:dyDescent="0.25">
      <c r="A107" s="7">
        <v>106</v>
      </c>
      <c r="B107" s="2" t="s">
        <v>323</v>
      </c>
      <c r="C107" s="2" t="s">
        <v>189</v>
      </c>
      <c r="D107" t="s">
        <v>775</v>
      </c>
      <c r="E107" s="2" t="s">
        <v>324</v>
      </c>
      <c r="F107" s="2" t="s">
        <v>9</v>
      </c>
      <c r="G107" s="2" t="s">
        <v>10</v>
      </c>
      <c r="H107" s="2" t="s">
        <v>11</v>
      </c>
      <c r="I107" t="str">
        <f>IF(OR('Class Attendance'!Q107="At Risk",'PD Project'!G107="At Risk",'CSC Meeting Per Student'!E107="At Risk"),"Off Track","Normal")</f>
        <v>Off Track</v>
      </c>
    </row>
    <row r="108" spans="1:9" ht="13.2" x14ac:dyDescent="0.25">
      <c r="A108" s="7">
        <v>107</v>
      </c>
      <c r="B108" s="2" t="s">
        <v>325</v>
      </c>
      <c r="C108" s="2" t="s">
        <v>326</v>
      </c>
      <c r="D108" t="s">
        <v>786</v>
      </c>
      <c r="E108" s="2" t="s">
        <v>327</v>
      </c>
      <c r="F108" s="2" t="s">
        <v>51</v>
      </c>
      <c r="G108" s="2" t="s">
        <v>39</v>
      </c>
      <c r="H108" s="2" t="s">
        <v>20</v>
      </c>
      <c r="I108" t="str">
        <f>IF(OR('Class Attendance'!Q108="At Risk",'PD Project'!G108="At Risk",'CSC Meeting Per Student'!E108="At Risk"),"Off Track","Normal")</f>
        <v>Normal</v>
      </c>
    </row>
    <row r="109" spans="1:9" ht="13.2" x14ac:dyDescent="0.25">
      <c r="A109" s="7">
        <v>108</v>
      </c>
      <c r="B109" s="2" t="s">
        <v>325</v>
      </c>
      <c r="C109" s="2" t="s">
        <v>328</v>
      </c>
      <c r="D109" t="s">
        <v>842</v>
      </c>
      <c r="E109" s="2" t="s">
        <v>329</v>
      </c>
      <c r="F109" s="2" t="s">
        <v>24</v>
      </c>
      <c r="G109" s="2" t="s">
        <v>10</v>
      </c>
      <c r="H109" s="2" t="s">
        <v>20</v>
      </c>
      <c r="I109" t="str">
        <f>IF(OR('Class Attendance'!Q109="At Risk",'PD Project'!G109="At Risk",'CSC Meeting Per Student'!E109="At Risk"),"Off Track","Normal")</f>
        <v>Normal</v>
      </c>
    </row>
    <row r="110" spans="1:9" ht="13.2" x14ac:dyDescent="0.25">
      <c r="A110" s="7">
        <v>109</v>
      </c>
      <c r="B110" s="2" t="s">
        <v>330</v>
      </c>
      <c r="C110" s="2" t="s">
        <v>331</v>
      </c>
      <c r="D110" t="s">
        <v>773</v>
      </c>
      <c r="E110" s="2" t="s">
        <v>332</v>
      </c>
      <c r="F110" s="2" t="s">
        <v>38</v>
      </c>
      <c r="G110" s="2" t="s">
        <v>39</v>
      </c>
      <c r="H110" s="2" t="s">
        <v>20</v>
      </c>
      <c r="I110" t="str">
        <f>IF(OR('Class Attendance'!Q110="At Risk",'PD Project'!G110="At Risk",'CSC Meeting Per Student'!E110="At Risk"),"Off Track","Normal")</f>
        <v>Normal</v>
      </c>
    </row>
    <row r="111" spans="1:9" ht="13.2" x14ac:dyDescent="0.25">
      <c r="A111" s="7">
        <v>110</v>
      </c>
      <c r="B111" s="2" t="s">
        <v>333</v>
      </c>
      <c r="C111" s="2" t="s">
        <v>237</v>
      </c>
      <c r="D111" t="s">
        <v>651</v>
      </c>
      <c r="E111" s="2" t="s">
        <v>334</v>
      </c>
      <c r="F111" s="2" t="s">
        <v>34</v>
      </c>
      <c r="G111" s="2" t="s">
        <v>16</v>
      </c>
      <c r="H111" s="2" t="s">
        <v>11</v>
      </c>
      <c r="I111" t="str">
        <f>IF(OR('Class Attendance'!Q111="At Risk",'PD Project'!G111="At Risk",'CSC Meeting Per Student'!E111="At Risk"),"Off Track","Normal")</f>
        <v>Off Track</v>
      </c>
    </row>
    <row r="112" spans="1:9" ht="13.2" x14ac:dyDescent="0.25">
      <c r="A112" s="7">
        <v>111</v>
      </c>
      <c r="B112" s="2" t="s">
        <v>335</v>
      </c>
      <c r="C112" s="2" t="s">
        <v>336</v>
      </c>
      <c r="D112" t="s">
        <v>761</v>
      </c>
      <c r="E112" s="2" t="s">
        <v>337</v>
      </c>
      <c r="F112" s="2" t="s">
        <v>38</v>
      </c>
      <c r="G112" s="2" t="s">
        <v>39</v>
      </c>
      <c r="H112" s="2" t="s">
        <v>20</v>
      </c>
      <c r="I112" t="str">
        <f>IF(OR('Class Attendance'!Q112="At Risk",'PD Project'!G112="At Risk",'CSC Meeting Per Student'!E112="At Risk"),"Off Track","Normal")</f>
        <v>Normal</v>
      </c>
    </row>
    <row r="113" spans="1:9" ht="13.2" x14ac:dyDescent="0.25">
      <c r="A113" s="7">
        <v>112</v>
      </c>
      <c r="B113" s="2" t="s">
        <v>338</v>
      </c>
      <c r="C113" s="2" t="s">
        <v>339</v>
      </c>
      <c r="D113" t="s">
        <v>725</v>
      </c>
      <c r="E113" s="2" t="s">
        <v>340</v>
      </c>
      <c r="F113" s="2" t="s">
        <v>38</v>
      </c>
      <c r="G113" s="2" t="s">
        <v>39</v>
      </c>
      <c r="H113" s="2" t="s">
        <v>11</v>
      </c>
      <c r="I113" t="str">
        <f>IF(OR('Class Attendance'!Q113="At Risk",'PD Project'!G113="At Risk",'CSC Meeting Per Student'!E113="At Risk"),"Off Track","Normal")</f>
        <v>Normal</v>
      </c>
    </row>
    <row r="114" spans="1:9" ht="13.2" x14ac:dyDescent="0.25">
      <c r="A114" s="7">
        <v>113</v>
      </c>
      <c r="B114" s="2" t="s">
        <v>341</v>
      </c>
      <c r="C114" s="2" t="s">
        <v>342</v>
      </c>
      <c r="D114" t="s">
        <v>694</v>
      </c>
      <c r="E114" s="2" t="s">
        <v>343</v>
      </c>
      <c r="F114" s="2" t="s">
        <v>57</v>
      </c>
      <c r="G114" s="2" t="s">
        <v>43</v>
      </c>
      <c r="H114" s="2" t="s">
        <v>20</v>
      </c>
      <c r="I114" t="str">
        <f>IF(OR('Class Attendance'!Q114="At Risk",'PD Project'!G114="At Risk",'CSC Meeting Per Student'!E114="At Risk"),"Off Track","Normal")</f>
        <v>Normal</v>
      </c>
    </row>
    <row r="115" spans="1:9" ht="13.2" x14ac:dyDescent="0.25">
      <c r="A115" s="7">
        <v>114</v>
      </c>
      <c r="B115" s="2" t="s">
        <v>344</v>
      </c>
      <c r="C115" s="2" t="s">
        <v>345</v>
      </c>
      <c r="D115" t="s">
        <v>704</v>
      </c>
      <c r="E115" s="2" t="s">
        <v>346</v>
      </c>
      <c r="F115" s="2" t="s">
        <v>38</v>
      </c>
      <c r="G115" s="2" t="s">
        <v>39</v>
      </c>
      <c r="H115" s="2" t="s">
        <v>20</v>
      </c>
      <c r="I115" t="str">
        <f>IF(OR('Class Attendance'!Q115="At Risk",'PD Project'!G115="At Risk",'CSC Meeting Per Student'!E115="At Risk"),"Off Track","Normal")</f>
        <v>Normal</v>
      </c>
    </row>
    <row r="116" spans="1:9" ht="13.2" x14ac:dyDescent="0.25">
      <c r="A116" s="7">
        <v>115</v>
      </c>
      <c r="B116" s="2" t="s">
        <v>347</v>
      </c>
      <c r="C116" s="2" t="s">
        <v>348</v>
      </c>
      <c r="D116" t="s">
        <v>770</v>
      </c>
      <c r="E116" s="2" t="s">
        <v>349</v>
      </c>
      <c r="F116" s="2" t="s">
        <v>51</v>
      </c>
      <c r="G116" s="2" t="s">
        <v>39</v>
      </c>
      <c r="H116" s="2" t="s">
        <v>20</v>
      </c>
      <c r="I116" t="str">
        <f>IF(OR('Class Attendance'!Q116="At Risk",'PD Project'!G116="At Risk",'CSC Meeting Per Student'!E116="At Risk"),"Off Track","Normal")</f>
        <v>Normal</v>
      </c>
    </row>
    <row r="117" spans="1:9" ht="13.2" x14ac:dyDescent="0.25">
      <c r="A117" s="7">
        <v>116</v>
      </c>
      <c r="B117" s="2" t="s">
        <v>347</v>
      </c>
      <c r="C117" s="2" t="s">
        <v>350</v>
      </c>
      <c r="D117" t="s">
        <v>769</v>
      </c>
      <c r="E117" s="2" t="s">
        <v>351</v>
      </c>
      <c r="F117" s="2" t="s">
        <v>34</v>
      </c>
      <c r="G117" s="2" t="s">
        <v>16</v>
      </c>
      <c r="H117" s="2" t="s">
        <v>11</v>
      </c>
      <c r="I117" t="str">
        <f>IF(OR('Class Attendance'!Q117="At Risk",'PD Project'!G117="At Risk",'CSC Meeting Per Student'!E117="At Risk"),"Off Track","Normal")</f>
        <v>Normal</v>
      </c>
    </row>
    <row r="118" spans="1:9" ht="13.2" x14ac:dyDescent="0.25">
      <c r="A118" s="7">
        <v>117</v>
      </c>
      <c r="B118" s="2" t="s">
        <v>347</v>
      </c>
      <c r="C118" s="2" t="s">
        <v>352</v>
      </c>
      <c r="D118" t="s">
        <v>645</v>
      </c>
      <c r="E118" s="2" t="s">
        <v>353</v>
      </c>
      <c r="F118" s="2" t="s">
        <v>24</v>
      </c>
      <c r="G118" s="2" t="s">
        <v>10</v>
      </c>
      <c r="H118" s="2" t="s">
        <v>20</v>
      </c>
      <c r="I118" t="str">
        <f>IF(OR('Class Attendance'!Q118="At Risk",'PD Project'!G118="At Risk",'CSC Meeting Per Student'!E118="At Risk"),"Off Track","Normal")</f>
        <v>Normal</v>
      </c>
    </row>
    <row r="119" spans="1:9" ht="13.2" x14ac:dyDescent="0.25">
      <c r="A119" s="7">
        <v>118</v>
      </c>
      <c r="B119" s="2" t="s">
        <v>354</v>
      </c>
      <c r="C119" s="2" t="s">
        <v>355</v>
      </c>
      <c r="D119" t="s">
        <v>765</v>
      </c>
      <c r="E119" s="2" t="s">
        <v>356</v>
      </c>
      <c r="F119" s="2" t="s">
        <v>9</v>
      </c>
      <c r="G119" s="2" t="s">
        <v>10</v>
      </c>
      <c r="H119" s="2" t="s">
        <v>20</v>
      </c>
      <c r="I119" t="str">
        <f>IF(OR('Class Attendance'!Q119="At Risk",'PD Project'!G119="At Risk",'CSC Meeting Per Student'!E119="At Risk"),"Off Track","Normal")</f>
        <v>Normal</v>
      </c>
    </row>
    <row r="120" spans="1:9" ht="13.2" x14ac:dyDescent="0.25">
      <c r="A120" s="7">
        <v>119</v>
      </c>
      <c r="B120" s="2" t="s">
        <v>357</v>
      </c>
      <c r="C120" s="2" t="s">
        <v>358</v>
      </c>
      <c r="D120" t="s">
        <v>764</v>
      </c>
      <c r="E120" s="2" t="s">
        <v>359</v>
      </c>
      <c r="F120" s="2" t="s">
        <v>47</v>
      </c>
      <c r="G120" s="2" t="s">
        <v>43</v>
      </c>
      <c r="H120" s="2" t="s">
        <v>20</v>
      </c>
      <c r="I120" t="str">
        <f>IF(OR('Class Attendance'!Q120="At Risk",'PD Project'!G120="At Risk",'CSC Meeting Per Student'!E120="At Risk"),"Off Track","Normal")</f>
        <v>Normal</v>
      </c>
    </row>
    <row r="121" spans="1:9" ht="13.2" x14ac:dyDescent="0.25">
      <c r="A121" s="7">
        <v>120</v>
      </c>
      <c r="B121" s="2" t="s">
        <v>360</v>
      </c>
      <c r="C121" s="2" t="s">
        <v>361</v>
      </c>
      <c r="D121" t="s">
        <v>768</v>
      </c>
      <c r="E121" s="2" t="s">
        <v>362</v>
      </c>
      <c r="F121" s="2" t="s">
        <v>34</v>
      </c>
      <c r="G121" s="2" t="s">
        <v>16</v>
      </c>
      <c r="H121" s="2" t="s">
        <v>20</v>
      </c>
      <c r="I121" t="str">
        <f>IF(OR('Class Attendance'!Q121="At Risk",'PD Project'!G121="At Risk",'CSC Meeting Per Student'!E121="At Risk"),"Off Track","Normal")</f>
        <v>Normal</v>
      </c>
    </row>
    <row r="122" spans="1:9" ht="13.2" x14ac:dyDescent="0.25">
      <c r="A122" s="7">
        <v>121</v>
      </c>
      <c r="B122" s="2" t="s">
        <v>363</v>
      </c>
      <c r="C122" s="2" t="s">
        <v>364</v>
      </c>
      <c r="D122" t="s">
        <v>676</v>
      </c>
      <c r="E122" s="2" t="s">
        <v>365</v>
      </c>
      <c r="F122" s="2" t="s">
        <v>57</v>
      </c>
      <c r="G122" s="2" t="s">
        <v>43</v>
      </c>
      <c r="H122" s="2" t="s">
        <v>20</v>
      </c>
      <c r="I122" t="str">
        <f>IF(OR('Class Attendance'!Q122="At Risk",'PD Project'!G122="At Risk",'CSC Meeting Per Student'!E122="At Risk"),"Off Track","Normal")</f>
        <v>Off Track</v>
      </c>
    </row>
    <row r="123" spans="1:9" ht="13.2" x14ac:dyDescent="0.25">
      <c r="A123" s="7">
        <v>122</v>
      </c>
      <c r="B123" s="2" t="s">
        <v>366</v>
      </c>
      <c r="C123" s="2" t="s">
        <v>367</v>
      </c>
      <c r="D123" t="s">
        <v>807</v>
      </c>
      <c r="E123" s="2" t="s">
        <v>368</v>
      </c>
      <c r="F123" s="2" t="s">
        <v>47</v>
      </c>
      <c r="G123" s="2" t="s">
        <v>43</v>
      </c>
      <c r="H123" s="2" t="s">
        <v>20</v>
      </c>
      <c r="I123" t="str">
        <f>IF(OR('Class Attendance'!Q123="At Risk",'PD Project'!G123="At Risk",'CSC Meeting Per Student'!E123="At Risk"),"Off Track","Normal")</f>
        <v>Normal</v>
      </c>
    </row>
    <row r="124" spans="1:9" ht="13.2" x14ac:dyDescent="0.25">
      <c r="A124" s="7">
        <v>123</v>
      </c>
      <c r="B124" s="2" t="s">
        <v>369</v>
      </c>
      <c r="C124" s="2" t="s">
        <v>355</v>
      </c>
      <c r="D124" t="s">
        <v>692</v>
      </c>
      <c r="E124" s="2" t="s">
        <v>370</v>
      </c>
      <c r="F124" s="2" t="s">
        <v>57</v>
      </c>
      <c r="G124" s="2" t="s">
        <v>43</v>
      </c>
      <c r="H124" s="2" t="s">
        <v>20</v>
      </c>
      <c r="I124" t="str">
        <f>IF(OR('Class Attendance'!Q124="At Risk",'PD Project'!G124="At Risk",'CSC Meeting Per Student'!E124="At Risk"),"Off Track","Normal")</f>
        <v>Normal</v>
      </c>
    </row>
    <row r="125" spans="1:9" ht="13.2" x14ac:dyDescent="0.25">
      <c r="A125" s="7">
        <v>124</v>
      </c>
      <c r="B125" s="2" t="s">
        <v>371</v>
      </c>
      <c r="C125" s="2" t="s">
        <v>372</v>
      </c>
      <c r="D125" t="s">
        <v>687</v>
      </c>
      <c r="E125" s="2" t="s">
        <v>373</v>
      </c>
      <c r="F125" s="2" t="s">
        <v>24</v>
      </c>
      <c r="G125" s="2" t="s">
        <v>10</v>
      </c>
      <c r="H125" s="2" t="s">
        <v>20</v>
      </c>
      <c r="I125" t="str">
        <f>IF(OR('Class Attendance'!Q125="At Risk",'PD Project'!G125="At Risk",'CSC Meeting Per Student'!E125="At Risk"),"Off Track","Normal")</f>
        <v>Normal</v>
      </c>
    </row>
    <row r="126" spans="1:9" ht="13.2" x14ac:dyDescent="0.25">
      <c r="A126" s="7">
        <v>125</v>
      </c>
      <c r="B126" s="2" t="s">
        <v>374</v>
      </c>
      <c r="C126" s="2" t="s">
        <v>375</v>
      </c>
      <c r="D126" t="s">
        <v>654</v>
      </c>
      <c r="E126" s="2" t="s">
        <v>376</v>
      </c>
      <c r="F126" s="2" t="s">
        <v>24</v>
      </c>
      <c r="G126" s="2" t="s">
        <v>10</v>
      </c>
      <c r="H126" s="2" t="s">
        <v>20</v>
      </c>
      <c r="I126" t="str">
        <f>IF(OR('Class Attendance'!Q126="At Risk",'PD Project'!G126="At Risk",'CSC Meeting Per Student'!E126="At Risk"),"Off Track","Normal")</f>
        <v>Off Track</v>
      </c>
    </row>
    <row r="127" spans="1:9" ht="13.2" x14ac:dyDescent="0.25">
      <c r="A127" s="7">
        <v>126</v>
      </c>
      <c r="B127" s="2" t="s">
        <v>377</v>
      </c>
      <c r="C127" s="2" t="s">
        <v>378</v>
      </c>
      <c r="D127" t="s">
        <v>760</v>
      </c>
      <c r="E127" s="2" t="s">
        <v>379</v>
      </c>
      <c r="F127" s="2" t="s">
        <v>47</v>
      </c>
      <c r="G127" s="2" t="s">
        <v>43</v>
      </c>
      <c r="H127" s="2" t="s">
        <v>20</v>
      </c>
      <c r="I127" t="str">
        <f>IF(OR('Class Attendance'!Q127="At Risk",'PD Project'!G127="At Risk",'CSC Meeting Per Student'!E127="At Risk"),"Off Track","Normal")</f>
        <v>Normal</v>
      </c>
    </row>
    <row r="128" spans="1:9" ht="13.2" x14ac:dyDescent="0.25">
      <c r="A128" s="7">
        <v>127</v>
      </c>
      <c r="B128" s="2" t="s">
        <v>380</v>
      </c>
      <c r="C128" s="2" t="s">
        <v>381</v>
      </c>
      <c r="D128" t="s">
        <v>762</v>
      </c>
      <c r="E128" s="2" t="s">
        <v>382</v>
      </c>
      <c r="F128" s="2" t="s">
        <v>24</v>
      </c>
      <c r="G128" s="2" t="s">
        <v>43</v>
      </c>
      <c r="H128" s="2" t="s">
        <v>11</v>
      </c>
      <c r="I128" t="str">
        <f>IF(OR('Class Attendance'!Q128="At Risk",'PD Project'!G128="At Risk",'CSC Meeting Per Student'!E128="At Risk"),"Off Track","Normal")</f>
        <v>Off Track</v>
      </c>
    </row>
    <row r="129" spans="1:9" ht="13.2" x14ac:dyDescent="0.25">
      <c r="A129" s="7">
        <v>128</v>
      </c>
      <c r="B129" s="2" t="s">
        <v>383</v>
      </c>
      <c r="C129" s="2" t="s">
        <v>384</v>
      </c>
      <c r="D129" t="s">
        <v>816</v>
      </c>
      <c r="E129" s="2" t="s">
        <v>385</v>
      </c>
      <c r="F129" s="2" t="s">
        <v>78</v>
      </c>
      <c r="G129" s="2" t="s">
        <v>16</v>
      </c>
      <c r="H129" s="2" t="s">
        <v>20</v>
      </c>
      <c r="I129" t="str">
        <f>IF(OR('Class Attendance'!Q129="At Risk",'PD Project'!G129="At Risk",'CSC Meeting Per Student'!E129="At Risk"),"Off Track","Normal")</f>
        <v>Off Track</v>
      </c>
    </row>
    <row r="130" spans="1:9" ht="13.2" x14ac:dyDescent="0.25">
      <c r="A130" s="7">
        <v>129</v>
      </c>
      <c r="B130" s="2" t="s">
        <v>383</v>
      </c>
      <c r="C130" s="2" t="s">
        <v>386</v>
      </c>
      <c r="D130" t="s">
        <v>757</v>
      </c>
      <c r="E130" s="2" t="s">
        <v>387</v>
      </c>
      <c r="F130" s="2" t="s">
        <v>34</v>
      </c>
      <c r="G130" s="2" t="s">
        <v>16</v>
      </c>
      <c r="H130" s="2" t="s">
        <v>20</v>
      </c>
      <c r="I130" t="str">
        <f>IF(OR('Class Attendance'!Q130="At Risk",'PD Project'!G130="At Risk",'CSC Meeting Per Student'!E130="At Risk"),"Off Track","Normal")</f>
        <v>Normal</v>
      </c>
    </row>
    <row r="131" spans="1:9" ht="13.2" x14ac:dyDescent="0.25">
      <c r="A131" s="7">
        <v>130</v>
      </c>
      <c r="B131" s="2" t="s">
        <v>388</v>
      </c>
      <c r="C131" s="2" t="s">
        <v>389</v>
      </c>
      <c r="D131" t="s">
        <v>724</v>
      </c>
      <c r="E131" s="2" t="s">
        <v>390</v>
      </c>
      <c r="F131" s="2" t="s">
        <v>57</v>
      </c>
      <c r="G131" s="2" t="s">
        <v>43</v>
      </c>
      <c r="H131" s="2" t="s">
        <v>20</v>
      </c>
      <c r="I131" t="str">
        <f>IF(OR('Class Attendance'!Q131="At Risk",'PD Project'!G131="At Risk",'CSC Meeting Per Student'!E131="At Risk"),"Off Track","Normal")</f>
        <v>Normal</v>
      </c>
    </row>
    <row r="132" spans="1:9" ht="13.2" x14ac:dyDescent="0.25">
      <c r="A132" s="7">
        <v>131</v>
      </c>
      <c r="B132" s="2" t="s">
        <v>391</v>
      </c>
      <c r="C132" s="2" t="s">
        <v>392</v>
      </c>
      <c r="D132" t="s">
        <v>756</v>
      </c>
      <c r="E132" s="2" t="s">
        <v>393</v>
      </c>
      <c r="F132" s="2" t="s">
        <v>38</v>
      </c>
      <c r="G132" s="2" t="s">
        <v>39</v>
      </c>
      <c r="H132" s="2" t="s">
        <v>20</v>
      </c>
      <c r="I132" t="str">
        <f>IF(OR('Class Attendance'!Q132="At Risk",'PD Project'!G132="At Risk",'CSC Meeting Per Student'!E132="At Risk"),"Off Track","Normal")</f>
        <v>Normal</v>
      </c>
    </row>
    <row r="133" spans="1:9" ht="13.2" x14ac:dyDescent="0.25">
      <c r="A133" s="7">
        <v>132</v>
      </c>
      <c r="B133" s="2" t="s">
        <v>394</v>
      </c>
      <c r="C133" s="2" t="s">
        <v>395</v>
      </c>
      <c r="D133" t="s">
        <v>754</v>
      </c>
      <c r="E133" s="2" t="s">
        <v>396</v>
      </c>
      <c r="F133" s="2" t="s">
        <v>34</v>
      </c>
      <c r="G133" s="2" t="s">
        <v>16</v>
      </c>
      <c r="H133" s="2" t="s">
        <v>20</v>
      </c>
      <c r="I133" t="str">
        <f>IF(OR('Class Attendance'!Q133="At Risk",'PD Project'!G133="At Risk",'CSC Meeting Per Student'!E133="At Risk"),"Off Track","Normal")</f>
        <v>Normal</v>
      </c>
    </row>
    <row r="134" spans="1:9" ht="13.2" x14ac:dyDescent="0.25">
      <c r="A134" s="7">
        <v>133</v>
      </c>
      <c r="B134" s="2" t="s">
        <v>397</v>
      </c>
      <c r="C134" s="2" t="s">
        <v>398</v>
      </c>
      <c r="D134" t="s">
        <v>745</v>
      </c>
      <c r="E134" s="2" t="s">
        <v>399</v>
      </c>
      <c r="F134" s="2" t="s">
        <v>51</v>
      </c>
      <c r="G134" s="2" t="s">
        <v>39</v>
      </c>
      <c r="H134" s="2" t="s">
        <v>20</v>
      </c>
      <c r="I134" t="str">
        <f>IF(OR('Class Attendance'!Q134="At Risk",'PD Project'!G134="At Risk",'CSC Meeting Per Student'!E134="At Risk"),"Off Track","Normal")</f>
        <v>Normal</v>
      </c>
    </row>
    <row r="135" spans="1:9" ht="13.2" x14ac:dyDescent="0.25">
      <c r="A135" s="7">
        <v>134</v>
      </c>
      <c r="B135" s="2" t="s">
        <v>400</v>
      </c>
      <c r="C135" s="2" t="s">
        <v>401</v>
      </c>
      <c r="D135" t="s">
        <v>753</v>
      </c>
      <c r="E135" s="2" t="s">
        <v>402</v>
      </c>
      <c r="F135" s="2" t="s">
        <v>15</v>
      </c>
      <c r="G135" s="2" t="s">
        <v>43</v>
      </c>
      <c r="H135" s="2" t="s">
        <v>20</v>
      </c>
      <c r="I135" t="str">
        <f>IF(OR('Class Attendance'!Q135="At Risk",'PD Project'!G135="At Risk",'CSC Meeting Per Student'!E135="At Risk"),"Off Track","Normal")</f>
        <v>Normal</v>
      </c>
    </row>
    <row r="136" spans="1:9" ht="13.2" x14ac:dyDescent="0.25">
      <c r="A136" s="7">
        <v>135</v>
      </c>
      <c r="B136" s="2" t="s">
        <v>403</v>
      </c>
      <c r="C136" s="2" t="s">
        <v>404</v>
      </c>
      <c r="D136" t="s">
        <v>755</v>
      </c>
      <c r="E136" s="2" t="s">
        <v>405</v>
      </c>
      <c r="F136" s="2" t="s">
        <v>47</v>
      </c>
      <c r="G136" s="2" t="s">
        <v>43</v>
      </c>
      <c r="H136" s="2" t="s">
        <v>20</v>
      </c>
      <c r="I136" t="str">
        <f>IF(OR('Class Attendance'!Q136="At Risk",'PD Project'!G136="At Risk",'CSC Meeting Per Student'!E136="At Risk"),"Off Track","Normal")</f>
        <v>Normal</v>
      </c>
    </row>
    <row r="137" spans="1:9" ht="13.2" x14ac:dyDescent="0.25">
      <c r="A137" s="7">
        <v>136</v>
      </c>
      <c r="B137" s="2" t="s">
        <v>406</v>
      </c>
      <c r="C137" s="2" t="s">
        <v>407</v>
      </c>
      <c r="D137" t="s">
        <v>668</v>
      </c>
      <c r="E137" s="2" t="s">
        <v>408</v>
      </c>
      <c r="F137" s="2" t="s">
        <v>9</v>
      </c>
      <c r="G137" s="2" t="s">
        <v>10</v>
      </c>
      <c r="H137" s="2" t="s">
        <v>20</v>
      </c>
      <c r="I137" t="str">
        <f>IF(OR('Class Attendance'!Q137="At Risk",'PD Project'!G137="At Risk",'CSC Meeting Per Student'!E137="At Risk"),"Off Track","Normal")</f>
        <v>Off Track</v>
      </c>
    </row>
    <row r="138" spans="1:9" ht="13.2" x14ac:dyDescent="0.25">
      <c r="A138" s="7">
        <v>137</v>
      </c>
      <c r="B138" s="2" t="s">
        <v>409</v>
      </c>
      <c r="C138" s="2" t="s">
        <v>410</v>
      </c>
      <c r="D138" t="s">
        <v>667</v>
      </c>
      <c r="E138" s="2" t="s">
        <v>411</v>
      </c>
      <c r="F138" s="2" t="s">
        <v>15</v>
      </c>
      <c r="G138" s="2" t="s">
        <v>43</v>
      </c>
      <c r="H138" s="2" t="s">
        <v>20</v>
      </c>
      <c r="I138" t="str">
        <f>IF(OR('Class Attendance'!Q138="At Risk",'PD Project'!G138="At Risk",'CSC Meeting Per Student'!E138="At Risk"),"Off Track","Normal")</f>
        <v>Off Track</v>
      </c>
    </row>
    <row r="139" spans="1:9" ht="13.2" x14ac:dyDescent="0.25">
      <c r="A139" s="7">
        <v>138</v>
      </c>
      <c r="B139" s="2" t="s">
        <v>412</v>
      </c>
      <c r="C139" s="2" t="s">
        <v>413</v>
      </c>
      <c r="D139" t="s">
        <v>707</v>
      </c>
      <c r="E139" s="2" t="s">
        <v>414</v>
      </c>
      <c r="F139" s="2" t="s">
        <v>47</v>
      </c>
      <c r="G139" s="2" t="s">
        <v>43</v>
      </c>
      <c r="H139" s="2" t="s">
        <v>20</v>
      </c>
      <c r="I139" t="str">
        <f>IF(OR('Class Attendance'!Q139="At Risk",'PD Project'!G139="At Risk",'CSC Meeting Per Student'!E139="At Risk"),"Off Track","Normal")</f>
        <v>Off Track</v>
      </c>
    </row>
    <row r="140" spans="1:9" ht="13.2" x14ac:dyDescent="0.25">
      <c r="A140" s="7">
        <v>139</v>
      </c>
      <c r="B140" s="2" t="s">
        <v>415</v>
      </c>
      <c r="C140" s="2" t="s">
        <v>160</v>
      </c>
      <c r="D140" t="s">
        <v>752</v>
      </c>
      <c r="E140" s="2" t="s">
        <v>416</v>
      </c>
      <c r="F140" s="2" t="s">
        <v>34</v>
      </c>
      <c r="G140" s="2" t="s">
        <v>16</v>
      </c>
      <c r="H140" s="2" t="s">
        <v>11</v>
      </c>
      <c r="I140" t="str">
        <f>IF(OR('Class Attendance'!Q140="At Risk",'PD Project'!G140="At Risk",'CSC Meeting Per Student'!E140="At Risk"),"Off Track","Normal")</f>
        <v>Normal</v>
      </c>
    </row>
    <row r="141" spans="1:9" ht="13.2" x14ac:dyDescent="0.25">
      <c r="A141" s="7">
        <v>140</v>
      </c>
      <c r="B141" s="2" t="s">
        <v>417</v>
      </c>
      <c r="C141" s="2" t="s">
        <v>418</v>
      </c>
      <c r="D141" t="s">
        <v>749</v>
      </c>
      <c r="E141" s="2" t="s">
        <v>419</v>
      </c>
      <c r="F141" s="2" t="s">
        <v>57</v>
      </c>
      <c r="G141" s="2" t="s">
        <v>43</v>
      </c>
      <c r="H141" s="2" t="s">
        <v>11</v>
      </c>
      <c r="I141" t="str">
        <f>IF(OR('Class Attendance'!Q141="At Risk",'PD Project'!G141="At Risk",'CSC Meeting Per Student'!E141="At Risk"),"Off Track","Normal")</f>
        <v>Normal</v>
      </c>
    </row>
    <row r="142" spans="1:9" ht="13.2" x14ac:dyDescent="0.25">
      <c r="A142" s="7">
        <v>141</v>
      </c>
      <c r="B142" s="2" t="s">
        <v>420</v>
      </c>
      <c r="C142" s="2" t="s">
        <v>421</v>
      </c>
      <c r="D142" t="s">
        <v>748</v>
      </c>
      <c r="E142" s="2" t="s">
        <v>422</v>
      </c>
      <c r="F142" s="2" t="s">
        <v>34</v>
      </c>
      <c r="G142" s="2" t="s">
        <v>16</v>
      </c>
      <c r="H142" s="2" t="s">
        <v>11</v>
      </c>
      <c r="I142" t="str">
        <f>IF(OR('Class Attendance'!Q142="At Risk",'PD Project'!G142="At Risk",'CSC Meeting Per Student'!E142="At Risk"),"Off Track","Normal")</f>
        <v>Normal</v>
      </c>
    </row>
    <row r="143" spans="1:9" ht="13.2" x14ac:dyDescent="0.25">
      <c r="A143" s="7">
        <v>142</v>
      </c>
      <c r="B143" s="2" t="s">
        <v>423</v>
      </c>
      <c r="C143" s="2" t="s">
        <v>424</v>
      </c>
      <c r="D143" t="s">
        <v>747</v>
      </c>
      <c r="E143" s="2" t="s">
        <v>425</v>
      </c>
      <c r="F143" s="2" t="s">
        <v>38</v>
      </c>
      <c r="G143" s="2" t="s">
        <v>39</v>
      </c>
      <c r="H143" s="2" t="s">
        <v>20</v>
      </c>
      <c r="I143" t="str">
        <f>IF(OR('Class Attendance'!Q143="At Risk",'PD Project'!G143="At Risk",'CSC Meeting Per Student'!E143="At Risk"),"Off Track","Normal")</f>
        <v>Off Track</v>
      </c>
    </row>
    <row r="144" spans="1:9" ht="13.2" x14ac:dyDescent="0.25">
      <c r="A144" s="7">
        <v>143</v>
      </c>
      <c r="B144" s="2" t="s">
        <v>426</v>
      </c>
      <c r="C144" s="2" t="s">
        <v>427</v>
      </c>
      <c r="D144" t="s">
        <v>766</v>
      </c>
      <c r="E144" s="2" t="s">
        <v>428</v>
      </c>
      <c r="F144" s="2" t="s">
        <v>51</v>
      </c>
      <c r="G144" s="2" t="s">
        <v>39</v>
      </c>
      <c r="H144" s="2" t="s">
        <v>20</v>
      </c>
      <c r="I144" t="str">
        <f>IF(OR('Class Attendance'!Q144="At Risk",'PD Project'!G144="At Risk",'CSC Meeting Per Student'!E144="At Risk"),"Off Track","Normal")</f>
        <v>Normal</v>
      </c>
    </row>
    <row r="145" spans="1:9" ht="13.2" x14ac:dyDescent="0.25">
      <c r="A145" s="7">
        <v>144</v>
      </c>
      <c r="B145" s="2" t="s">
        <v>426</v>
      </c>
      <c r="C145" s="2" t="s">
        <v>429</v>
      </c>
      <c r="D145" t="s">
        <v>666</v>
      </c>
      <c r="E145" s="2" t="s">
        <v>430</v>
      </c>
      <c r="F145" s="2" t="s">
        <v>24</v>
      </c>
      <c r="G145" s="2" t="s">
        <v>43</v>
      </c>
      <c r="H145" s="2" t="s">
        <v>20</v>
      </c>
      <c r="I145" t="str">
        <f>IF(OR('Class Attendance'!Q145="At Risk",'PD Project'!G145="At Risk",'CSC Meeting Per Student'!E145="At Risk"),"Off Track","Normal")</f>
        <v>Normal</v>
      </c>
    </row>
    <row r="146" spans="1:9" ht="13.2" x14ac:dyDescent="0.25">
      <c r="A146" s="7">
        <v>145</v>
      </c>
      <c r="B146" s="2" t="s">
        <v>431</v>
      </c>
      <c r="C146" s="2" t="s">
        <v>432</v>
      </c>
      <c r="D146" t="s">
        <v>690</v>
      </c>
      <c r="E146" s="2" t="s">
        <v>433</v>
      </c>
      <c r="F146" s="2" t="s">
        <v>9</v>
      </c>
      <c r="G146" s="2" t="s">
        <v>10</v>
      </c>
      <c r="H146" s="2" t="s">
        <v>20</v>
      </c>
      <c r="I146" t="str">
        <f>IF(OR('Class Attendance'!Q146="At Risk",'PD Project'!G146="At Risk",'CSC Meeting Per Student'!E146="At Risk"),"Off Track","Normal")</f>
        <v>Normal</v>
      </c>
    </row>
    <row r="147" spans="1:9" ht="13.2" x14ac:dyDescent="0.25">
      <c r="A147" s="7">
        <v>146</v>
      </c>
      <c r="B147" s="2" t="s">
        <v>434</v>
      </c>
      <c r="C147" s="2" t="s">
        <v>435</v>
      </c>
      <c r="D147" t="s">
        <v>746</v>
      </c>
      <c r="E147" s="2" t="s">
        <v>436</v>
      </c>
      <c r="F147" s="2" t="s">
        <v>38</v>
      </c>
      <c r="G147" s="2" t="s">
        <v>39</v>
      </c>
      <c r="H147" s="2" t="s">
        <v>11</v>
      </c>
      <c r="I147" t="str">
        <f>IF(OR('Class Attendance'!Q147="At Risk",'PD Project'!G147="At Risk",'CSC Meeting Per Student'!E147="At Risk"),"Off Track","Normal")</f>
        <v>Normal</v>
      </c>
    </row>
    <row r="148" spans="1:9" ht="13.2" x14ac:dyDescent="0.25">
      <c r="A148" s="7">
        <v>147</v>
      </c>
      <c r="B148" s="2" t="s">
        <v>437</v>
      </c>
      <c r="C148" s="2" t="s">
        <v>438</v>
      </c>
      <c r="D148" t="s">
        <v>802</v>
      </c>
      <c r="E148" s="2" t="s">
        <v>439</v>
      </c>
      <c r="F148" s="2" t="s">
        <v>47</v>
      </c>
      <c r="G148" s="2" t="s">
        <v>43</v>
      </c>
      <c r="H148" s="2" t="s">
        <v>20</v>
      </c>
      <c r="I148" t="str">
        <f>IF(OR('Class Attendance'!Q148="At Risk",'PD Project'!G148="At Risk",'CSC Meeting Per Student'!E148="At Risk"),"Off Track","Normal")</f>
        <v>Off Track</v>
      </c>
    </row>
    <row r="149" spans="1:9" ht="13.2" x14ac:dyDescent="0.25">
      <c r="A149" s="7">
        <v>148</v>
      </c>
      <c r="B149" s="2" t="s">
        <v>440</v>
      </c>
      <c r="C149" s="2" t="s">
        <v>441</v>
      </c>
      <c r="D149" t="s">
        <v>744</v>
      </c>
      <c r="E149" s="2" t="s">
        <v>442</v>
      </c>
      <c r="F149" s="2" t="s">
        <v>51</v>
      </c>
      <c r="G149" s="2" t="s">
        <v>39</v>
      </c>
      <c r="H149" s="2" t="s">
        <v>20</v>
      </c>
      <c r="I149" t="str">
        <f>IF(OR('Class Attendance'!Q149="At Risk",'PD Project'!G149="At Risk",'CSC Meeting Per Student'!E149="At Risk"),"Off Track","Normal")</f>
        <v>Normal</v>
      </c>
    </row>
    <row r="150" spans="1:9" ht="13.2" x14ac:dyDescent="0.25">
      <c r="A150" s="7">
        <v>149</v>
      </c>
      <c r="B150" s="2" t="s">
        <v>443</v>
      </c>
      <c r="C150" s="2" t="s">
        <v>444</v>
      </c>
      <c r="D150" t="s">
        <v>741</v>
      </c>
      <c r="E150" s="2" t="s">
        <v>445</v>
      </c>
      <c r="F150" s="2" t="s">
        <v>78</v>
      </c>
      <c r="G150" s="2" t="s">
        <v>16</v>
      </c>
      <c r="H150" s="2" t="s">
        <v>11</v>
      </c>
      <c r="I150" t="str">
        <f>IF(OR('Class Attendance'!Q150="At Risk",'PD Project'!G150="At Risk",'CSC Meeting Per Student'!E150="At Risk"),"Off Track","Normal")</f>
        <v>Normal</v>
      </c>
    </row>
    <row r="151" spans="1:9" ht="13.2" x14ac:dyDescent="0.25">
      <c r="A151" s="7">
        <v>150</v>
      </c>
      <c r="B151" s="2" t="s">
        <v>446</v>
      </c>
      <c r="C151" s="2" t="s">
        <v>115</v>
      </c>
      <c r="D151" t="s">
        <v>691</v>
      </c>
      <c r="E151" s="2" t="s">
        <v>447</v>
      </c>
      <c r="F151" s="2" t="s">
        <v>78</v>
      </c>
      <c r="G151" s="2" t="s">
        <v>16</v>
      </c>
      <c r="H151" s="2" t="s">
        <v>20</v>
      </c>
      <c r="I151" t="str">
        <f>IF(OR('Class Attendance'!Q151="At Risk",'PD Project'!G151="At Risk",'CSC Meeting Per Student'!E151="At Risk"),"Off Track","Normal")</f>
        <v>Normal</v>
      </c>
    </row>
    <row r="152" spans="1:9" ht="13.2" x14ac:dyDescent="0.25">
      <c r="A152" s="7">
        <v>151</v>
      </c>
      <c r="B152" s="2" t="s">
        <v>448</v>
      </c>
      <c r="C152" s="2" t="s">
        <v>449</v>
      </c>
      <c r="D152" t="s">
        <v>728</v>
      </c>
      <c r="E152" s="2" t="s">
        <v>450</v>
      </c>
      <c r="F152" s="2" t="s">
        <v>78</v>
      </c>
      <c r="G152" s="2" t="s">
        <v>16</v>
      </c>
      <c r="H152" s="2" t="s">
        <v>20</v>
      </c>
      <c r="I152" t="str">
        <f>IF(OR('Class Attendance'!Q152="At Risk",'PD Project'!G152="At Risk",'CSC Meeting Per Student'!E152="At Risk"),"Off Track","Normal")</f>
        <v>Normal</v>
      </c>
    </row>
    <row r="153" spans="1:9" ht="13.2" x14ac:dyDescent="0.25">
      <c r="A153" s="7">
        <v>152</v>
      </c>
      <c r="B153" s="2" t="s">
        <v>451</v>
      </c>
      <c r="C153" s="2" t="s">
        <v>452</v>
      </c>
      <c r="D153" t="s">
        <v>818</v>
      </c>
      <c r="E153" s="2" t="s">
        <v>453</v>
      </c>
      <c r="F153" s="2" t="s">
        <v>9</v>
      </c>
      <c r="G153" s="2" t="s">
        <v>10</v>
      </c>
      <c r="H153" s="2" t="s">
        <v>20</v>
      </c>
      <c r="I153" t="str">
        <f>IF(OR('Class Attendance'!Q153="At Risk",'PD Project'!G153="At Risk",'CSC Meeting Per Student'!E153="At Risk"),"Off Track","Normal")</f>
        <v>Off Track</v>
      </c>
    </row>
    <row r="154" spans="1:9" ht="13.2" x14ac:dyDescent="0.25">
      <c r="A154" s="7">
        <v>153</v>
      </c>
      <c r="B154" s="2" t="s">
        <v>454</v>
      </c>
      <c r="C154" s="2" t="s">
        <v>455</v>
      </c>
      <c r="D154" t="s">
        <v>739</v>
      </c>
      <c r="E154" s="2" t="s">
        <v>456</v>
      </c>
      <c r="F154" s="2" t="s">
        <v>78</v>
      </c>
      <c r="G154" s="2" t="s">
        <v>16</v>
      </c>
      <c r="H154" s="2" t="s">
        <v>11</v>
      </c>
      <c r="I154" t="str">
        <f>IF(OR('Class Attendance'!Q154="At Risk",'PD Project'!G154="At Risk",'CSC Meeting Per Student'!E154="At Risk"),"Off Track","Normal")</f>
        <v>Normal</v>
      </c>
    </row>
    <row r="155" spans="1:9" ht="13.2" x14ac:dyDescent="0.25">
      <c r="A155" s="7">
        <v>154</v>
      </c>
      <c r="B155" s="2" t="s">
        <v>457</v>
      </c>
      <c r="C155" s="2" t="s">
        <v>458</v>
      </c>
      <c r="D155" t="s">
        <v>680</v>
      </c>
      <c r="E155" s="2" t="s">
        <v>459</v>
      </c>
      <c r="F155" s="2" t="s">
        <v>57</v>
      </c>
      <c r="G155" s="2" t="s">
        <v>43</v>
      </c>
      <c r="H155" s="2" t="s">
        <v>20</v>
      </c>
      <c r="I155" t="str">
        <f>IF(OR('Class Attendance'!Q155="At Risk",'PD Project'!G155="At Risk",'CSC Meeting Per Student'!E155="At Risk"),"Off Track","Normal")</f>
        <v>Off Track</v>
      </c>
    </row>
    <row r="156" spans="1:9" ht="13.2" x14ac:dyDescent="0.25">
      <c r="A156" s="7">
        <v>155</v>
      </c>
      <c r="B156" s="2" t="s">
        <v>460</v>
      </c>
      <c r="C156" s="2" t="s">
        <v>461</v>
      </c>
      <c r="D156" t="s">
        <v>737</v>
      </c>
      <c r="E156" s="2" t="s">
        <v>462</v>
      </c>
      <c r="F156" s="2" t="s">
        <v>9</v>
      </c>
      <c r="G156" s="2" t="s">
        <v>10</v>
      </c>
      <c r="H156" s="2" t="s">
        <v>20</v>
      </c>
      <c r="I156" t="str">
        <f>IF(OR('Class Attendance'!Q156="At Risk",'PD Project'!G156="At Risk",'CSC Meeting Per Student'!E156="At Risk"),"Off Track","Normal")</f>
        <v>Normal</v>
      </c>
    </row>
    <row r="157" spans="1:9" ht="13.2" x14ac:dyDescent="0.25">
      <c r="A157" s="7">
        <v>156</v>
      </c>
      <c r="B157" s="2" t="s">
        <v>463</v>
      </c>
      <c r="C157" s="2" t="s">
        <v>464</v>
      </c>
      <c r="D157" t="s">
        <v>797</v>
      </c>
      <c r="E157" s="2" t="s">
        <v>465</v>
      </c>
      <c r="F157" s="2" t="s">
        <v>15</v>
      </c>
      <c r="G157" s="2" t="s">
        <v>43</v>
      </c>
      <c r="H157" s="2" t="s">
        <v>20</v>
      </c>
      <c r="I157" t="str">
        <f>IF(OR('Class Attendance'!Q157="At Risk",'PD Project'!G157="At Risk",'CSC Meeting Per Student'!E157="At Risk"),"Off Track","Normal")</f>
        <v>Normal</v>
      </c>
    </row>
    <row r="158" spans="1:9" ht="13.2" x14ac:dyDescent="0.25">
      <c r="A158" s="7">
        <v>157</v>
      </c>
      <c r="B158" s="2" t="s">
        <v>466</v>
      </c>
      <c r="C158" s="2" t="s">
        <v>467</v>
      </c>
      <c r="D158" t="s">
        <v>736</v>
      </c>
      <c r="E158" s="2" t="s">
        <v>468</v>
      </c>
      <c r="F158" s="2" t="s">
        <v>9</v>
      </c>
      <c r="G158" s="2" t="s">
        <v>10</v>
      </c>
      <c r="H158" s="2" t="s">
        <v>11</v>
      </c>
      <c r="I158" t="str">
        <f>IF(OR('Class Attendance'!Q158="At Risk",'PD Project'!G158="At Risk",'CSC Meeting Per Student'!E158="At Risk"),"Off Track","Normal")</f>
        <v>Normal</v>
      </c>
    </row>
    <row r="159" spans="1:9" ht="13.2" x14ac:dyDescent="0.25">
      <c r="A159" s="7">
        <v>158</v>
      </c>
      <c r="B159" s="2" t="s">
        <v>469</v>
      </c>
      <c r="C159" s="2" t="s">
        <v>470</v>
      </c>
      <c r="D159" t="s">
        <v>735</v>
      </c>
      <c r="E159" s="2" t="s">
        <v>471</v>
      </c>
      <c r="F159" s="2" t="s">
        <v>15</v>
      </c>
      <c r="G159" s="2" t="s">
        <v>43</v>
      </c>
      <c r="H159" s="2" t="s">
        <v>20</v>
      </c>
      <c r="I159" t="str">
        <f>IF(OR('Class Attendance'!Q159="At Risk",'PD Project'!G159="At Risk",'CSC Meeting Per Student'!E159="At Risk"),"Off Track","Normal")</f>
        <v>Normal</v>
      </c>
    </row>
    <row r="160" spans="1:9" ht="13.2" x14ac:dyDescent="0.25">
      <c r="A160" s="7">
        <v>159</v>
      </c>
      <c r="B160" s="2" t="s">
        <v>472</v>
      </c>
      <c r="C160" s="2" t="s">
        <v>473</v>
      </c>
      <c r="D160" t="s">
        <v>734</v>
      </c>
      <c r="E160" s="2" t="s">
        <v>474</v>
      </c>
      <c r="F160" s="2" t="s">
        <v>15</v>
      </c>
      <c r="G160" s="2" t="s">
        <v>43</v>
      </c>
      <c r="H160" s="2" t="s">
        <v>20</v>
      </c>
      <c r="I160" t="str">
        <f>IF(OR('Class Attendance'!Q160="At Risk",'PD Project'!G160="At Risk",'CSC Meeting Per Student'!E160="At Risk"),"Off Track","Normal")</f>
        <v>Normal</v>
      </c>
    </row>
    <row r="161" spans="1:9" ht="13.2" x14ac:dyDescent="0.25">
      <c r="A161" s="7">
        <v>160</v>
      </c>
      <c r="B161" s="2" t="s">
        <v>475</v>
      </c>
      <c r="C161" s="2" t="s">
        <v>476</v>
      </c>
      <c r="D161" t="s">
        <v>839</v>
      </c>
      <c r="E161" s="2" t="s">
        <v>477</v>
      </c>
      <c r="F161" s="2" t="s">
        <v>9</v>
      </c>
      <c r="G161" s="2" t="s">
        <v>10</v>
      </c>
      <c r="H161" s="2" t="s">
        <v>20</v>
      </c>
      <c r="I161" t="str">
        <f>IF(OR('Class Attendance'!Q161="At Risk",'PD Project'!G161="At Risk",'CSC Meeting Per Student'!E161="At Risk"),"Off Track","Normal")</f>
        <v>Normal</v>
      </c>
    </row>
    <row r="162" spans="1:9" ht="13.2" x14ac:dyDescent="0.25">
      <c r="A162" s="7">
        <v>161</v>
      </c>
      <c r="B162" s="2" t="s">
        <v>478</v>
      </c>
      <c r="C162" s="2" t="s">
        <v>355</v>
      </c>
      <c r="D162" t="s">
        <v>688</v>
      </c>
      <c r="E162" s="2" t="s">
        <v>479</v>
      </c>
      <c r="F162" s="2" t="s">
        <v>24</v>
      </c>
      <c r="G162" s="2" t="s">
        <v>10</v>
      </c>
      <c r="H162" s="2" t="s">
        <v>11</v>
      </c>
      <c r="I162" t="str">
        <f>IF(OR('Class Attendance'!Q162="At Risk",'PD Project'!G162="At Risk",'CSC Meeting Per Student'!E162="At Risk"),"Off Track","Normal")</f>
        <v>Normal</v>
      </c>
    </row>
    <row r="163" spans="1:9" ht="13.2" x14ac:dyDescent="0.25">
      <c r="A163" s="7">
        <v>162</v>
      </c>
      <c r="B163" s="2" t="s">
        <v>480</v>
      </c>
      <c r="C163" s="2" t="s">
        <v>481</v>
      </c>
      <c r="D163" t="s">
        <v>733</v>
      </c>
      <c r="E163" s="2" t="s">
        <v>482</v>
      </c>
      <c r="F163" s="2" t="s">
        <v>15</v>
      </c>
      <c r="G163" s="2" t="s">
        <v>16</v>
      </c>
      <c r="H163" s="2" t="s">
        <v>20</v>
      </c>
      <c r="I163" t="str">
        <f>IF(OR('Class Attendance'!Q163="At Risk",'PD Project'!G163="At Risk",'CSC Meeting Per Student'!E163="At Risk"),"Off Track","Normal")</f>
        <v>Normal</v>
      </c>
    </row>
    <row r="164" spans="1:9" ht="13.2" x14ac:dyDescent="0.25">
      <c r="A164" s="7">
        <v>163</v>
      </c>
      <c r="B164" s="2" t="s">
        <v>483</v>
      </c>
      <c r="C164" s="2" t="s">
        <v>484</v>
      </c>
      <c r="D164" t="s">
        <v>658</v>
      </c>
      <c r="E164" s="2" t="s">
        <v>485</v>
      </c>
      <c r="F164" s="2" t="s">
        <v>34</v>
      </c>
      <c r="G164" s="2" t="s">
        <v>16</v>
      </c>
      <c r="H164" s="2" t="s">
        <v>11</v>
      </c>
      <c r="I164" t="str">
        <f>IF(OR('Class Attendance'!Q164="At Risk",'PD Project'!G164="At Risk",'CSC Meeting Per Student'!E164="At Risk"),"Off Track","Normal")</f>
        <v>Off Track</v>
      </c>
    </row>
    <row r="165" spans="1:9" ht="13.2" x14ac:dyDescent="0.25">
      <c r="A165" s="7">
        <v>164</v>
      </c>
      <c r="B165" s="2" t="s">
        <v>486</v>
      </c>
      <c r="C165" s="2" t="s">
        <v>487</v>
      </c>
      <c r="D165" t="s">
        <v>732</v>
      </c>
      <c r="E165" s="2" t="s">
        <v>488</v>
      </c>
      <c r="F165" s="2" t="s">
        <v>38</v>
      </c>
      <c r="G165" s="2" t="s">
        <v>39</v>
      </c>
      <c r="H165" s="2" t="s">
        <v>20</v>
      </c>
      <c r="I165" t="str">
        <f>IF(OR('Class Attendance'!Q165="At Risk",'PD Project'!G165="At Risk",'CSC Meeting Per Student'!E165="At Risk"),"Off Track","Normal")</f>
        <v>Normal</v>
      </c>
    </row>
    <row r="166" spans="1:9" ht="13.2" x14ac:dyDescent="0.25">
      <c r="A166" s="7">
        <v>165</v>
      </c>
      <c r="B166" s="2" t="s">
        <v>489</v>
      </c>
      <c r="C166" s="2" t="s">
        <v>490</v>
      </c>
      <c r="D166" t="s">
        <v>657</v>
      </c>
      <c r="E166" s="2" t="s">
        <v>491</v>
      </c>
      <c r="F166" s="2" t="s">
        <v>51</v>
      </c>
      <c r="G166" s="2" t="s">
        <v>39</v>
      </c>
      <c r="H166" s="2" t="s">
        <v>20</v>
      </c>
      <c r="I166" t="str">
        <f>IF(OR('Class Attendance'!Q166="At Risk",'PD Project'!G166="At Risk",'CSC Meeting Per Student'!E166="At Risk"),"Off Track","Normal")</f>
        <v>Off Track</v>
      </c>
    </row>
    <row r="167" spans="1:9" ht="13.2" x14ac:dyDescent="0.25">
      <c r="A167" s="7">
        <v>166</v>
      </c>
      <c r="B167" s="2" t="s">
        <v>492</v>
      </c>
      <c r="C167" s="2" t="s">
        <v>95</v>
      </c>
      <c r="D167" t="s">
        <v>697</v>
      </c>
      <c r="E167" s="2" t="s">
        <v>493</v>
      </c>
      <c r="F167" s="2" t="s">
        <v>9</v>
      </c>
      <c r="G167" s="2" t="s">
        <v>10</v>
      </c>
      <c r="H167" s="2" t="s">
        <v>20</v>
      </c>
      <c r="I167" t="str">
        <f>IF(OR('Class Attendance'!Q167="At Risk",'PD Project'!G167="At Risk",'CSC Meeting Per Student'!E167="At Risk"),"Off Track","Normal")</f>
        <v>Normal</v>
      </c>
    </row>
    <row r="168" spans="1:9" ht="13.2" x14ac:dyDescent="0.25">
      <c r="A168" s="7">
        <v>167</v>
      </c>
      <c r="B168" s="2" t="s">
        <v>494</v>
      </c>
      <c r="C168" s="2" t="s">
        <v>495</v>
      </c>
      <c r="D168" t="s">
        <v>750</v>
      </c>
      <c r="E168" s="2" t="s">
        <v>496</v>
      </c>
      <c r="F168" s="2" t="s">
        <v>51</v>
      </c>
      <c r="G168" s="2" t="s">
        <v>39</v>
      </c>
      <c r="H168" s="2" t="s">
        <v>20</v>
      </c>
      <c r="I168" t="str">
        <f>IF(OR('Class Attendance'!Q168="At Risk",'PD Project'!G168="At Risk",'CSC Meeting Per Student'!E168="At Risk"),"Off Track","Normal")</f>
        <v>Normal</v>
      </c>
    </row>
    <row r="169" spans="1:9" ht="13.2" x14ac:dyDescent="0.25">
      <c r="A169" s="7">
        <v>168</v>
      </c>
      <c r="B169" s="2" t="s">
        <v>497</v>
      </c>
      <c r="C169" s="2" t="s">
        <v>498</v>
      </c>
      <c r="D169" t="s">
        <v>727</v>
      </c>
      <c r="E169" s="2" t="s">
        <v>499</v>
      </c>
      <c r="F169" s="2" t="s">
        <v>51</v>
      </c>
      <c r="G169" s="2" t="s">
        <v>39</v>
      </c>
      <c r="H169" s="2" t="s">
        <v>20</v>
      </c>
      <c r="I169" t="str">
        <f>IF(OR('Class Attendance'!Q169="At Risk",'PD Project'!G169="At Risk",'CSC Meeting Per Student'!E169="At Risk"),"Off Track","Normal")</f>
        <v>Normal</v>
      </c>
    </row>
    <row r="170" spans="1:9" ht="13.2" x14ac:dyDescent="0.25">
      <c r="A170" s="7">
        <v>169</v>
      </c>
      <c r="B170" s="2" t="s">
        <v>497</v>
      </c>
      <c r="C170" s="2" t="s">
        <v>500</v>
      </c>
      <c r="D170" t="s">
        <v>698</v>
      </c>
      <c r="E170" s="2" t="s">
        <v>501</v>
      </c>
      <c r="F170" s="2" t="s">
        <v>47</v>
      </c>
      <c r="G170" s="2" t="s">
        <v>43</v>
      </c>
      <c r="H170" s="2" t="s">
        <v>20</v>
      </c>
      <c r="I170" t="str">
        <f>IF(OR('Class Attendance'!Q170="At Risk",'PD Project'!G170="At Risk",'CSC Meeting Per Student'!E170="At Risk"),"Off Track","Normal")</f>
        <v>Normal</v>
      </c>
    </row>
    <row r="171" spans="1:9" ht="13.2" x14ac:dyDescent="0.25">
      <c r="A171" s="7">
        <v>170</v>
      </c>
      <c r="B171" s="2" t="s">
        <v>502</v>
      </c>
      <c r="C171" s="2" t="s">
        <v>503</v>
      </c>
      <c r="D171" t="s">
        <v>731</v>
      </c>
      <c r="E171" s="2" t="s">
        <v>504</v>
      </c>
      <c r="F171" s="2" t="s">
        <v>57</v>
      </c>
      <c r="G171" s="2" t="s">
        <v>43</v>
      </c>
      <c r="H171" s="2" t="s">
        <v>20</v>
      </c>
      <c r="I171" t="str">
        <f>IF(OR('Class Attendance'!Q171="At Risk",'PD Project'!G171="At Risk",'CSC Meeting Per Student'!E171="At Risk"),"Off Track","Normal")</f>
        <v>Off Track</v>
      </c>
    </row>
    <row r="172" spans="1:9" ht="13.2" x14ac:dyDescent="0.25">
      <c r="A172" s="7">
        <v>171</v>
      </c>
      <c r="B172" s="2" t="s">
        <v>505</v>
      </c>
      <c r="C172" s="2" t="s">
        <v>506</v>
      </c>
      <c r="D172" t="s">
        <v>686</v>
      </c>
      <c r="E172" s="2" t="s">
        <v>507</v>
      </c>
      <c r="F172" s="2" t="s">
        <v>24</v>
      </c>
      <c r="G172" s="2" t="s">
        <v>10</v>
      </c>
      <c r="H172" s="2" t="s">
        <v>11</v>
      </c>
      <c r="I172" t="str">
        <f>IF(OR('Class Attendance'!Q172="At Risk",'PD Project'!G172="At Risk",'CSC Meeting Per Student'!E172="At Risk"),"Off Track","Normal")</f>
        <v>Normal</v>
      </c>
    </row>
    <row r="173" spans="1:9" ht="13.2" x14ac:dyDescent="0.25">
      <c r="A173" s="7">
        <v>172</v>
      </c>
      <c r="B173" s="2" t="s">
        <v>508</v>
      </c>
      <c r="C173" s="2" t="s">
        <v>222</v>
      </c>
      <c r="D173" t="s">
        <v>726</v>
      </c>
      <c r="E173" s="2" t="s">
        <v>509</v>
      </c>
      <c r="F173" s="2" t="s">
        <v>34</v>
      </c>
      <c r="G173" s="2" t="s">
        <v>16</v>
      </c>
      <c r="H173" s="2" t="s">
        <v>20</v>
      </c>
      <c r="I173" t="str">
        <f>IF(OR('Class Attendance'!Q173="At Risk",'PD Project'!G173="At Risk",'CSC Meeting Per Student'!E173="At Risk"),"Off Track","Normal")</f>
        <v>Normal</v>
      </c>
    </row>
    <row r="174" spans="1:9" ht="13.2" x14ac:dyDescent="0.25">
      <c r="A174" s="7">
        <v>173</v>
      </c>
      <c r="B174" s="2" t="s">
        <v>510</v>
      </c>
      <c r="C174" s="2" t="s">
        <v>511</v>
      </c>
      <c r="D174" t="s">
        <v>714</v>
      </c>
      <c r="E174" s="2" t="s">
        <v>512</v>
      </c>
      <c r="F174" s="2" t="s">
        <v>47</v>
      </c>
      <c r="G174" s="2" t="s">
        <v>43</v>
      </c>
      <c r="H174" s="2" t="s">
        <v>11</v>
      </c>
      <c r="I174" t="str">
        <f>IF(OR('Class Attendance'!Q174="At Risk",'PD Project'!G174="At Risk",'CSC Meeting Per Student'!E174="At Risk"),"Off Track","Normal")</f>
        <v>Normal</v>
      </c>
    </row>
    <row r="175" spans="1:9" ht="13.2" x14ac:dyDescent="0.25">
      <c r="A175" s="7">
        <v>174</v>
      </c>
      <c r="B175" s="2" t="s">
        <v>513</v>
      </c>
      <c r="C175" s="2" t="s">
        <v>514</v>
      </c>
      <c r="D175" t="s">
        <v>763</v>
      </c>
      <c r="E175" s="2" t="s">
        <v>515</v>
      </c>
      <c r="F175" s="2" t="s">
        <v>57</v>
      </c>
      <c r="G175" s="2" t="s">
        <v>43</v>
      </c>
      <c r="H175" s="2" t="s">
        <v>20</v>
      </c>
      <c r="I175" t="str">
        <f>IF(OR('Class Attendance'!Q175="At Risk",'PD Project'!G175="At Risk",'CSC Meeting Per Student'!E175="At Risk"),"Off Track","Normal")</f>
        <v>Normal</v>
      </c>
    </row>
    <row r="176" spans="1:9" ht="13.2" x14ac:dyDescent="0.25">
      <c r="A176" s="7">
        <v>175</v>
      </c>
      <c r="B176" s="2" t="s">
        <v>516</v>
      </c>
      <c r="C176" s="2" t="s">
        <v>517</v>
      </c>
      <c r="D176" t="s">
        <v>777</v>
      </c>
      <c r="E176" s="2" t="s">
        <v>518</v>
      </c>
      <c r="F176" s="2" t="s">
        <v>78</v>
      </c>
      <c r="G176" s="2" t="s">
        <v>39</v>
      </c>
      <c r="H176" s="2" t="s">
        <v>20</v>
      </c>
      <c r="I176" t="str">
        <f>IF(OR('Class Attendance'!Q176="At Risk",'PD Project'!G176="At Risk",'CSC Meeting Per Student'!E176="At Risk"),"Off Track","Normal")</f>
        <v>Normal</v>
      </c>
    </row>
    <row r="177" spans="1:9" ht="13.2" x14ac:dyDescent="0.25">
      <c r="A177" s="7">
        <v>176</v>
      </c>
      <c r="B177" s="2" t="s">
        <v>519</v>
      </c>
      <c r="C177" s="2" t="s">
        <v>520</v>
      </c>
      <c r="D177" t="s">
        <v>722</v>
      </c>
      <c r="E177" s="2" t="s">
        <v>521</v>
      </c>
      <c r="F177" s="2" t="s">
        <v>34</v>
      </c>
      <c r="G177" s="2" t="s">
        <v>16</v>
      </c>
      <c r="H177" s="2" t="s">
        <v>20</v>
      </c>
      <c r="I177" t="str">
        <f>IF(OR('Class Attendance'!Q177="At Risk",'PD Project'!G177="At Risk",'CSC Meeting Per Student'!E177="At Risk"),"Off Track","Normal")</f>
        <v>Normal</v>
      </c>
    </row>
    <row r="178" spans="1:9" ht="13.2" x14ac:dyDescent="0.25">
      <c r="A178" s="7">
        <v>177</v>
      </c>
      <c r="B178" s="2" t="s">
        <v>522</v>
      </c>
      <c r="C178" s="2" t="s">
        <v>523</v>
      </c>
      <c r="D178" t="s">
        <v>721</v>
      </c>
      <c r="E178" s="2" t="s">
        <v>524</v>
      </c>
      <c r="F178" s="2" t="s">
        <v>47</v>
      </c>
      <c r="G178" s="2" t="s">
        <v>43</v>
      </c>
      <c r="H178" s="2" t="s">
        <v>11</v>
      </c>
      <c r="I178" t="str">
        <f>IF(OR('Class Attendance'!Q178="At Risk",'PD Project'!G178="At Risk",'CSC Meeting Per Student'!E178="At Risk"),"Off Track","Normal")</f>
        <v>Normal</v>
      </c>
    </row>
    <row r="179" spans="1:9" ht="13.2" x14ac:dyDescent="0.25">
      <c r="A179" s="7">
        <v>178</v>
      </c>
      <c r="B179" s="2" t="s">
        <v>525</v>
      </c>
      <c r="C179" s="2" t="s">
        <v>526</v>
      </c>
      <c r="D179" t="s">
        <v>767</v>
      </c>
      <c r="E179" s="2" t="s">
        <v>527</v>
      </c>
      <c r="F179" s="2" t="s">
        <v>47</v>
      </c>
      <c r="G179" s="2" t="s">
        <v>43</v>
      </c>
      <c r="H179" s="2" t="s">
        <v>20</v>
      </c>
      <c r="I179" t="str">
        <f>IF(OR('Class Attendance'!Q179="At Risk",'PD Project'!G179="At Risk",'CSC Meeting Per Student'!E179="At Risk"),"Off Track","Normal")</f>
        <v>Normal</v>
      </c>
    </row>
    <row r="180" spans="1:9" ht="13.2" x14ac:dyDescent="0.25">
      <c r="A180" s="7">
        <v>179</v>
      </c>
      <c r="B180" s="2" t="s">
        <v>528</v>
      </c>
      <c r="C180" s="2" t="s">
        <v>529</v>
      </c>
      <c r="D180" t="s">
        <v>656</v>
      </c>
      <c r="E180" s="2" t="s">
        <v>530</v>
      </c>
      <c r="F180" s="2" t="s">
        <v>15</v>
      </c>
      <c r="G180" s="2" t="s">
        <v>16</v>
      </c>
      <c r="H180" s="2" t="s">
        <v>20</v>
      </c>
      <c r="I180" t="str">
        <f>IF(OR('Class Attendance'!Q180="At Risk",'PD Project'!G180="At Risk",'CSC Meeting Per Student'!E180="At Risk"),"Off Track","Normal")</f>
        <v>Off Track</v>
      </c>
    </row>
    <row r="181" spans="1:9" ht="13.2" x14ac:dyDescent="0.25">
      <c r="A181" s="7">
        <v>180</v>
      </c>
      <c r="B181" s="2" t="s">
        <v>531</v>
      </c>
      <c r="C181" s="2" t="s">
        <v>532</v>
      </c>
      <c r="D181" t="s">
        <v>723</v>
      </c>
      <c r="E181" s="2" t="s">
        <v>533</v>
      </c>
      <c r="F181" s="2" t="s">
        <v>15</v>
      </c>
      <c r="G181" s="2" t="s">
        <v>16</v>
      </c>
      <c r="H181" s="2" t="s">
        <v>20</v>
      </c>
      <c r="I181" t="str">
        <f>IF(OR('Class Attendance'!Q181="At Risk",'PD Project'!G181="At Risk",'CSC Meeting Per Student'!E181="At Risk"),"Off Track","Normal")</f>
        <v>Normal</v>
      </c>
    </row>
    <row r="182" spans="1:9" ht="13.2" x14ac:dyDescent="0.25">
      <c r="A182" s="7">
        <v>181</v>
      </c>
      <c r="B182" s="2" t="s">
        <v>534</v>
      </c>
      <c r="C182" s="2" t="s">
        <v>535</v>
      </c>
      <c r="D182" t="s">
        <v>720</v>
      </c>
      <c r="E182" s="2" t="s">
        <v>536</v>
      </c>
      <c r="F182" s="2" t="s">
        <v>57</v>
      </c>
      <c r="G182" s="2" t="s">
        <v>43</v>
      </c>
      <c r="H182" s="2" t="s">
        <v>20</v>
      </c>
      <c r="I182" t="str">
        <f>IF(OR('Class Attendance'!Q182="At Risk",'PD Project'!G182="At Risk",'CSC Meeting Per Student'!E182="At Risk"),"Off Track","Normal")</f>
        <v>Normal</v>
      </c>
    </row>
    <row r="183" spans="1:9" ht="13.2" x14ac:dyDescent="0.25">
      <c r="A183" s="7">
        <v>182</v>
      </c>
      <c r="B183" s="2" t="s">
        <v>537</v>
      </c>
      <c r="C183" s="2" t="s">
        <v>538</v>
      </c>
      <c r="D183" t="s">
        <v>678</v>
      </c>
      <c r="E183" s="2" t="s">
        <v>539</v>
      </c>
      <c r="F183" s="2" t="s">
        <v>9</v>
      </c>
      <c r="G183" s="2" t="s">
        <v>10</v>
      </c>
      <c r="H183" s="2" t="s">
        <v>20</v>
      </c>
      <c r="I183" t="str">
        <f>IF(OR('Class Attendance'!Q183="At Risk",'PD Project'!G183="At Risk",'CSC Meeting Per Student'!E183="At Risk"),"Off Track","Normal")</f>
        <v>Off Track</v>
      </c>
    </row>
    <row r="184" spans="1:9" ht="13.2" x14ac:dyDescent="0.25">
      <c r="A184" s="7">
        <v>183</v>
      </c>
      <c r="B184" s="2" t="s">
        <v>540</v>
      </c>
      <c r="C184" s="2" t="s">
        <v>160</v>
      </c>
      <c r="D184" t="s">
        <v>772</v>
      </c>
      <c r="E184" s="2" t="s">
        <v>541</v>
      </c>
      <c r="F184" s="2" t="s">
        <v>9</v>
      </c>
      <c r="G184" s="2" t="s">
        <v>10</v>
      </c>
      <c r="H184" s="2" t="s">
        <v>20</v>
      </c>
      <c r="I184" t="str">
        <f>IF(OR('Class Attendance'!Q184="At Risk",'PD Project'!G184="At Risk",'CSC Meeting Per Student'!E184="At Risk"),"Off Track","Normal")</f>
        <v>Normal</v>
      </c>
    </row>
    <row r="185" spans="1:9" ht="13.2" x14ac:dyDescent="0.25">
      <c r="A185" s="7">
        <v>184</v>
      </c>
      <c r="B185" s="2" t="s">
        <v>542</v>
      </c>
      <c r="C185" s="2" t="s">
        <v>543</v>
      </c>
      <c r="D185" t="s">
        <v>800</v>
      </c>
      <c r="E185" s="2" t="s">
        <v>544</v>
      </c>
      <c r="F185" s="2" t="s">
        <v>78</v>
      </c>
      <c r="G185" s="2" t="s">
        <v>16</v>
      </c>
      <c r="H185" s="2" t="s">
        <v>11</v>
      </c>
      <c r="I185" t="str">
        <f>IF(OR('Class Attendance'!Q185="At Risk",'PD Project'!G185="At Risk",'CSC Meeting Per Student'!E185="At Risk"),"Off Track","Normal")</f>
        <v>Normal</v>
      </c>
    </row>
    <row r="186" spans="1:9" ht="13.2" x14ac:dyDescent="0.25">
      <c r="A186" s="7">
        <v>185</v>
      </c>
      <c r="B186" s="2" t="s">
        <v>545</v>
      </c>
      <c r="C186" s="2" t="s">
        <v>546</v>
      </c>
      <c r="D186" t="s">
        <v>859</v>
      </c>
      <c r="E186" s="2" t="s">
        <v>547</v>
      </c>
      <c r="F186" s="2" t="s">
        <v>15</v>
      </c>
      <c r="G186" s="2" t="s">
        <v>16</v>
      </c>
      <c r="H186" s="2" t="s">
        <v>20</v>
      </c>
      <c r="I186" t="str">
        <f>IF(OR('Class Attendance'!Q186="At Risk",'PD Project'!G186="At Risk",'CSC Meeting Per Student'!E186="At Risk"),"Off Track","Normal")</f>
        <v>Normal</v>
      </c>
    </row>
    <row r="187" spans="1:9" ht="13.2" x14ac:dyDescent="0.25">
      <c r="A187" s="7">
        <v>186</v>
      </c>
      <c r="B187" s="2" t="s">
        <v>548</v>
      </c>
      <c r="C187" s="2" t="s">
        <v>549</v>
      </c>
      <c r="D187" t="s">
        <v>719</v>
      </c>
      <c r="E187" s="2" t="s">
        <v>550</v>
      </c>
      <c r="F187" s="2" t="s">
        <v>15</v>
      </c>
      <c r="G187" s="2" t="s">
        <v>43</v>
      </c>
      <c r="H187" s="2" t="s">
        <v>20</v>
      </c>
      <c r="I187" t="str">
        <f>IF(OR('Class Attendance'!Q187="At Risk",'PD Project'!G187="At Risk",'CSC Meeting Per Student'!E187="At Risk"),"Off Track","Normal")</f>
        <v>Off Track</v>
      </c>
    </row>
    <row r="188" spans="1:9" ht="13.2" x14ac:dyDescent="0.25">
      <c r="A188" s="7">
        <v>187</v>
      </c>
      <c r="B188" s="2" t="s">
        <v>551</v>
      </c>
      <c r="C188" s="2" t="s">
        <v>552</v>
      </c>
      <c r="D188" t="s">
        <v>718</v>
      </c>
      <c r="E188" s="2" t="s">
        <v>553</v>
      </c>
      <c r="F188" s="2" t="s">
        <v>34</v>
      </c>
      <c r="G188" s="2" t="s">
        <v>16</v>
      </c>
      <c r="H188" s="2" t="s">
        <v>20</v>
      </c>
      <c r="I188" t="str">
        <f>IF(OR('Class Attendance'!Q188="At Risk",'PD Project'!G188="At Risk",'CSC Meeting Per Student'!E188="At Risk"),"Off Track","Normal")</f>
        <v>Normal</v>
      </c>
    </row>
    <row r="189" spans="1:9" ht="13.2" x14ac:dyDescent="0.25">
      <c r="A189" s="7">
        <v>188</v>
      </c>
      <c r="B189" s="2" t="s">
        <v>554</v>
      </c>
      <c r="C189" s="2" t="s">
        <v>237</v>
      </c>
      <c r="D189" t="s">
        <v>655</v>
      </c>
      <c r="E189" s="2" t="s">
        <v>555</v>
      </c>
      <c r="F189" s="2" t="s">
        <v>78</v>
      </c>
      <c r="G189" s="2" t="s">
        <v>16</v>
      </c>
      <c r="H189" s="2" t="s">
        <v>11</v>
      </c>
      <c r="I189" t="str">
        <f>IF(OR('Class Attendance'!Q189="At Risk",'PD Project'!G189="At Risk",'CSC Meeting Per Student'!E189="At Risk"),"Off Track","Normal")</f>
        <v>Off Track</v>
      </c>
    </row>
    <row r="190" spans="1:9" ht="13.2" x14ac:dyDescent="0.25">
      <c r="A190" s="7">
        <v>189</v>
      </c>
      <c r="B190" s="2" t="s">
        <v>556</v>
      </c>
      <c r="C190" s="2" t="s">
        <v>557</v>
      </c>
      <c r="D190" t="s">
        <v>715</v>
      </c>
      <c r="E190" s="2" t="s">
        <v>558</v>
      </c>
      <c r="F190" s="2" t="s">
        <v>24</v>
      </c>
      <c r="G190" s="2" t="s">
        <v>10</v>
      </c>
      <c r="H190" s="2" t="s">
        <v>20</v>
      </c>
      <c r="I190" t="str">
        <f>IF(OR('Class Attendance'!Q190="At Risk",'PD Project'!G190="At Risk",'CSC Meeting Per Student'!E190="At Risk"),"Off Track","Normal")</f>
        <v>Normal</v>
      </c>
    </row>
    <row r="191" spans="1:9" ht="13.2" x14ac:dyDescent="0.25">
      <c r="A191" s="7">
        <v>190</v>
      </c>
      <c r="B191" s="2" t="s">
        <v>559</v>
      </c>
      <c r="C191" s="2" t="s">
        <v>560</v>
      </c>
      <c r="D191" t="s">
        <v>716</v>
      </c>
      <c r="E191" s="2" t="s">
        <v>561</v>
      </c>
      <c r="F191" s="2" t="s">
        <v>9</v>
      </c>
      <c r="G191" s="2" t="s">
        <v>10</v>
      </c>
      <c r="H191" s="2" t="s">
        <v>20</v>
      </c>
      <c r="I191" t="str">
        <f>IF(OR('Class Attendance'!Q191="At Risk",'PD Project'!G191="At Risk",'CSC Meeting Per Student'!E191="At Risk"),"Off Track","Normal")</f>
        <v>Normal</v>
      </c>
    </row>
    <row r="192" spans="1:9" ht="13.2" x14ac:dyDescent="0.25">
      <c r="A192" s="7">
        <v>191</v>
      </c>
      <c r="B192" s="2" t="s">
        <v>562</v>
      </c>
      <c r="C192" s="2" t="s">
        <v>563</v>
      </c>
      <c r="D192" t="s">
        <v>742</v>
      </c>
      <c r="E192" s="2" t="s">
        <v>564</v>
      </c>
      <c r="F192" s="2" t="s">
        <v>51</v>
      </c>
      <c r="G192" s="2" t="s">
        <v>39</v>
      </c>
      <c r="H192" s="2" t="s">
        <v>20</v>
      </c>
      <c r="I192" t="str">
        <f>IF(OR('Class Attendance'!Q192="At Risk",'PD Project'!G192="At Risk",'CSC Meeting Per Student'!E192="At Risk"),"Off Track","Normal")</f>
        <v>Normal</v>
      </c>
    </row>
    <row r="193" spans="1:9" ht="13.2" x14ac:dyDescent="0.25">
      <c r="A193" s="7">
        <v>192</v>
      </c>
      <c r="B193" s="2" t="s">
        <v>565</v>
      </c>
      <c r="C193" s="2" t="s">
        <v>566</v>
      </c>
      <c r="D193" t="s">
        <v>673</v>
      </c>
      <c r="E193" s="2" t="s">
        <v>567</v>
      </c>
      <c r="F193" s="2" t="s">
        <v>51</v>
      </c>
      <c r="G193" s="2" t="s">
        <v>39</v>
      </c>
      <c r="H193" s="2" t="s">
        <v>11</v>
      </c>
      <c r="I193" t="str">
        <f>IF(OR('Class Attendance'!Q193="At Risk",'PD Project'!G193="At Risk",'CSC Meeting Per Student'!E193="At Risk"),"Off Track","Normal")</f>
        <v>Off Track</v>
      </c>
    </row>
    <row r="194" spans="1:9" ht="13.2" x14ac:dyDescent="0.25">
      <c r="A194" s="7">
        <v>193</v>
      </c>
      <c r="B194" s="2" t="s">
        <v>568</v>
      </c>
      <c r="C194" s="2" t="s">
        <v>32</v>
      </c>
      <c r="D194" t="s">
        <v>713</v>
      </c>
      <c r="E194" s="2" t="s">
        <v>569</v>
      </c>
      <c r="F194" s="2" t="s">
        <v>47</v>
      </c>
      <c r="G194" s="2" t="s">
        <v>43</v>
      </c>
      <c r="H194" s="2" t="s">
        <v>20</v>
      </c>
      <c r="I194" t="str">
        <f>IF(OR('Class Attendance'!Q194="At Risk",'PD Project'!G194="At Risk",'CSC Meeting Per Student'!E194="At Risk"),"Off Track","Normal")</f>
        <v>Normal</v>
      </c>
    </row>
    <row r="195" spans="1:9" ht="13.2" x14ac:dyDescent="0.25">
      <c r="A195" s="7">
        <v>194</v>
      </c>
      <c r="B195" s="2" t="s">
        <v>570</v>
      </c>
      <c r="C195" s="2" t="s">
        <v>571</v>
      </c>
      <c r="D195" t="s">
        <v>706</v>
      </c>
      <c r="E195" s="2" t="s">
        <v>572</v>
      </c>
      <c r="F195" s="2" t="s">
        <v>9</v>
      </c>
      <c r="G195" s="2" t="s">
        <v>10</v>
      </c>
      <c r="H195" s="2" t="s">
        <v>20</v>
      </c>
      <c r="I195" t="str">
        <f>IF(OR('Class Attendance'!Q195="At Risk",'PD Project'!G195="At Risk",'CSC Meeting Per Student'!E195="At Risk"),"Off Track","Normal")</f>
        <v>Normal</v>
      </c>
    </row>
    <row r="196" spans="1:9" ht="13.2" x14ac:dyDescent="0.25">
      <c r="A196" s="7">
        <v>195</v>
      </c>
      <c r="B196" s="2" t="s">
        <v>573</v>
      </c>
      <c r="C196" s="2" t="s">
        <v>574</v>
      </c>
      <c r="D196" t="s">
        <v>664</v>
      </c>
      <c r="E196" s="2" t="s">
        <v>575</v>
      </c>
      <c r="F196" s="2" t="s">
        <v>24</v>
      </c>
      <c r="G196" s="2" t="s">
        <v>10</v>
      </c>
      <c r="H196" s="2" t="s">
        <v>20</v>
      </c>
      <c r="I196" t="str">
        <f>IF(OR('Class Attendance'!Q196="At Risk",'PD Project'!G196="At Risk",'CSC Meeting Per Student'!E196="At Risk"),"Off Track","Normal")</f>
        <v>Normal</v>
      </c>
    </row>
    <row r="197" spans="1:9" ht="13.2" x14ac:dyDescent="0.25">
      <c r="A197" s="7">
        <v>196</v>
      </c>
      <c r="B197" s="2" t="s">
        <v>576</v>
      </c>
      <c r="C197" s="2" t="s">
        <v>577</v>
      </c>
      <c r="D197" t="s">
        <v>709</v>
      </c>
      <c r="E197" s="2" t="s">
        <v>578</v>
      </c>
      <c r="F197" s="2" t="s">
        <v>78</v>
      </c>
      <c r="G197" s="2" t="s">
        <v>16</v>
      </c>
      <c r="H197" s="2" t="s">
        <v>20</v>
      </c>
      <c r="I197" t="str">
        <f>IF(OR('Class Attendance'!Q197="At Risk",'PD Project'!G197="At Risk",'CSC Meeting Per Student'!E197="At Risk"),"Off Track","Normal")</f>
        <v>Normal</v>
      </c>
    </row>
    <row r="198" spans="1:9" ht="13.2" x14ac:dyDescent="0.25">
      <c r="A198" s="7">
        <v>197</v>
      </c>
      <c r="B198" s="2" t="s">
        <v>579</v>
      </c>
      <c r="C198" s="2" t="s">
        <v>469</v>
      </c>
      <c r="D198" t="s">
        <v>677</v>
      </c>
      <c r="E198" s="2" t="s">
        <v>580</v>
      </c>
      <c r="F198" s="2" t="s">
        <v>78</v>
      </c>
      <c r="G198" s="2" t="s">
        <v>16</v>
      </c>
      <c r="H198" s="2" t="s">
        <v>20</v>
      </c>
      <c r="I198" t="str">
        <f>IF(OR('Class Attendance'!Q198="At Risk",'PD Project'!G198="At Risk",'CSC Meeting Per Student'!E198="At Risk"),"Off Track","Normal")</f>
        <v>Normal</v>
      </c>
    </row>
    <row r="199" spans="1:9" ht="13.2" x14ac:dyDescent="0.25">
      <c r="A199" s="7">
        <v>198</v>
      </c>
      <c r="B199" s="2" t="s">
        <v>579</v>
      </c>
      <c r="C199" s="2" t="s">
        <v>581</v>
      </c>
      <c r="D199" t="s">
        <v>699</v>
      </c>
      <c r="E199" s="2" t="s">
        <v>582</v>
      </c>
      <c r="F199" s="2" t="s">
        <v>57</v>
      </c>
      <c r="G199" s="2" t="s">
        <v>43</v>
      </c>
      <c r="H199" s="2" t="s">
        <v>20</v>
      </c>
      <c r="I199" t="str">
        <f>IF(OR('Class Attendance'!Q199="At Risk",'PD Project'!G199="At Risk",'CSC Meeting Per Student'!E199="At Risk"),"Off Track","Normal")</f>
        <v>Normal</v>
      </c>
    </row>
    <row r="200" spans="1:9" ht="13.2" x14ac:dyDescent="0.25">
      <c r="A200" s="7">
        <v>199</v>
      </c>
      <c r="B200" s="2" t="s">
        <v>579</v>
      </c>
      <c r="C200" s="2" t="s">
        <v>583</v>
      </c>
      <c r="D200" t="s">
        <v>708</v>
      </c>
      <c r="E200" s="2" t="s">
        <v>584</v>
      </c>
      <c r="F200" s="2" t="s">
        <v>24</v>
      </c>
      <c r="G200" s="2" t="s">
        <v>10</v>
      </c>
      <c r="H200" s="2" t="s">
        <v>20</v>
      </c>
      <c r="I200" t="str">
        <f>IF(OR('Class Attendance'!Q200="At Risk",'PD Project'!G200="At Risk",'CSC Meeting Per Student'!E200="At Risk"),"Off Track","Normal")</f>
        <v>Normal</v>
      </c>
    </row>
    <row r="201" spans="1:9" ht="13.2" x14ac:dyDescent="0.25">
      <c r="A201" s="7">
        <v>200</v>
      </c>
      <c r="B201" s="2" t="s">
        <v>585</v>
      </c>
      <c r="C201" s="2" t="s">
        <v>586</v>
      </c>
      <c r="D201" t="s">
        <v>838</v>
      </c>
      <c r="E201" s="2" t="s">
        <v>587</v>
      </c>
      <c r="F201" s="2" t="s">
        <v>15</v>
      </c>
      <c r="G201" s="2" t="s">
        <v>43</v>
      </c>
      <c r="H201" s="2" t="s">
        <v>20</v>
      </c>
      <c r="I201" t="str">
        <f>IF(OR('Class Attendance'!Q201="At Risk",'PD Project'!G201="At Risk",'CSC Meeting Per Student'!E201="At Risk"),"Off Track","Normal")</f>
        <v>Normal</v>
      </c>
    </row>
    <row r="202" spans="1:9" ht="13.2" x14ac:dyDescent="0.25">
      <c r="A202" s="7">
        <v>201</v>
      </c>
      <c r="B202" s="2" t="s">
        <v>585</v>
      </c>
      <c r="C202" s="2" t="s">
        <v>586</v>
      </c>
      <c r="D202" t="s">
        <v>838</v>
      </c>
      <c r="E202" s="2" t="s">
        <v>588</v>
      </c>
      <c r="F202" s="2" t="s">
        <v>57</v>
      </c>
      <c r="G202" s="2" t="s">
        <v>43</v>
      </c>
      <c r="H202" s="2" t="s">
        <v>20</v>
      </c>
      <c r="I202" t="str">
        <f>IF(OR('Class Attendance'!Q202="At Risk",'PD Project'!G202="At Risk",'CSC Meeting Per Student'!E202="At Risk"),"Off Track","Normal")</f>
        <v>Normal</v>
      </c>
    </row>
    <row r="203" spans="1:9" ht="13.2" x14ac:dyDescent="0.25">
      <c r="A203" s="7">
        <v>202</v>
      </c>
      <c r="B203" s="2" t="s">
        <v>589</v>
      </c>
      <c r="C203" s="2" t="s">
        <v>590</v>
      </c>
      <c r="D203" t="s">
        <v>705</v>
      </c>
      <c r="E203" s="2" t="s">
        <v>591</v>
      </c>
      <c r="F203" s="2" t="s">
        <v>38</v>
      </c>
      <c r="G203" s="2" t="s">
        <v>39</v>
      </c>
      <c r="H203" s="2" t="s">
        <v>20</v>
      </c>
      <c r="I203" t="str">
        <f>IF(OR('Class Attendance'!Q203="At Risk",'PD Project'!G203="At Risk",'CSC Meeting Per Student'!E203="At Risk"),"Off Track","Normal")</f>
        <v>Normal</v>
      </c>
    </row>
    <row r="204" spans="1:9" ht="13.2" x14ac:dyDescent="0.25">
      <c r="A204" s="7">
        <v>203</v>
      </c>
      <c r="B204" s="2" t="s">
        <v>592</v>
      </c>
      <c r="C204" s="2" t="s">
        <v>593</v>
      </c>
      <c r="D204" t="s">
        <v>703</v>
      </c>
      <c r="E204" s="2" t="s">
        <v>594</v>
      </c>
      <c r="F204" s="2" t="s">
        <v>9</v>
      </c>
      <c r="G204" s="2" t="s">
        <v>10</v>
      </c>
      <c r="H204" s="2" t="s">
        <v>20</v>
      </c>
      <c r="I204" t="str">
        <f>IF(OR('Class Attendance'!Q204="At Risk",'PD Project'!G204="At Risk",'CSC Meeting Per Student'!E204="At Risk"),"Off Track","Normal")</f>
        <v>Normal</v>
      </c>
    </row>
    <row r="205" spans="1:9" ht="13.2" x14ac:dyDescent="0.25">
      <c r="A205" s="7">
        <v>204</v>
      </c>
      <c r="B205" s="2" t="s">
        <v>595</v>
      </c>
      <c r="C205" s="2" t="s">
        <v>596</v>
      </c>
      <c r="D205" t="s">
        <v>663</v>
      </c>
      <c r="E205" s="2" t="s">
        <v>597</v>
      </c>
      <c r="F205" s="2" t="s">
        <v>15</v>
      </c>
      <c r="G205" s="2" t="s">
        <v>16</v>
      </c>
      <c r="H205" s="2" t="s">
        <v>20</v>
      </c>
      <c r="I205" t="str">
        <f>IF(OR('Class Attendance'!Q205="At Risk",'PD Project'!G205="At Risk",'CSC Meeting Per Student'!E205="At Risk"),"Off Track","Normal")</f>
        <v>Normal</v>
      </c>
    </row>
    <row r="206" spans="1:9" ht="13.2" x14ac:dyDescent="0.25">
      <c r="A206" s="7">
        <v>205</v>
      </c>
      <c r="B206" s="2" t="s">
        <v>598</v>
      </c>
      <c r="C206" s="2" t="s">
        <v>599</v>
      </c>
      <c r="D206" t="s">
        <v>702</v>
      </c>
      <c r="E206" s="2" t="s">
        <v>600</v>
      </c>
      <c r="F206" s="2" t="s">
        <v>78</v>
      </c>
      <c r="G206" s="2" t="s">
        <v>16</v>
      </c>
      <c r="H206" s="2" t="s">
        <v>11</v>
      </c>
      <c r="I206" t="str">
        <f>IF(OR('Class Attendance'!Q206="At Risk",'PD Project'!G206="At Risk",'CSC Meeting Per Student'!E206="At Risk"),"Off Track","Normal")</f>
        <v>Normal</v>
      </c>
    </row>
    <row r="207" spans="1:9" ht="13.2" x14ac:dyDescent="0.25">
      <c r="A207" s="7">
        <v>206</v>
      </c>
      <c r="B207" s="2" t="s">
        <v>601</v>
      </c>
      <c r="C207" s="2" t="s">
        <v>602</v>
      </c>
      <c r="D207" t="s">
        <v>820</v>
      </c>
      <c r="E207" s="2" t="s">
        <v>603</v>
      </c>
      <c r="F207" s="2" t="s">
        <v>24</v>
      </c>
      <c r="G207" s="2" t="s">
        <v>10</v>
      </c>
      <c r="H207" s="2" t="s">
        <v>20</v>
      </c>
      <c r="I207" t="str">
        <f>IF(OR('Class Attendance'!Q207="At Risk",'PD Project'!G207="At Risk",'CSC Meeting Per Student'!E207="At Risk"),"Off Track","Normal")</f>
        <v>Normal</v>
      </c>
    </row>
    <row r="208" spans="1:9" ht="13.2" x14ac:dyDescent="0.25">
      <c r="A208" s="7">
        <v>207</v>
      </c>
      <c r="B208" s="2" t="s">
        <v>604</v>
      </c>
      <c r="C208" s="2" t="s">
        <v>605</v>
      </c>
      <c r="D208" t="s">
        <v>672</v>
      </c>
      <c r="E208" s="2" t="s">
        <v>606</v>
      </c>
      <c r="F208" s="2" t="s">
        <v>78</v>
      </c>
      <c r="G208" s="2" t="s">
        <v>16</v>
      </c>
      <c r="H208" s="2" t="s">
        <v>20</v>
      </c>
      <c r="I208" t="str">
        <f>IF(OR('Class Attendance'!Q208="At Risk",'PD Project'!G208="At Risk",'CSC Meeting Per Student'!E208="At Risk"),"Off Track","Normal")</f>
        <v>Normal</v>
      </c>
    </row>
    <row r="209" spans="1:9" ht="13.2" x14ac:dyDescent="0.25">
      <c r="A209" s="7">
        <v>208</v>
      </c>
      <c r="B209" s="2" t="s">
        <v>607</v>
      </c>
      <c r="C209" s="2" t="s">
        <v>608</v>
      </c>
      <c r="D209" t="s">
        <v>679</v>
      </c>
      <c r="E209" s="2" t="s">
        <v>609</v>
      </c>
      <c r="F209" s="2" t="s">
        <v>78</v>
      </c>
      <c r="G209" s="2" t="s">
        <v>16</v>
      </c>
      <c r="H209" s="2" t="s">
        <v>20</v>
      </c>
      <c r="I209" t="str">
        <f>IF(OR('Class Attendance'!Q209="At Risk",'PD Project'!G209="At Risk",'CSC Meeting Per Student'!E209="At Risk"),"Off Track","Normal")</f>
        <v>Off Track</v>
      </c>
    </row>
    <row r="210" spans="1:9" ht="13.2" x14ac:dyDescent="0.25">
      <c r="A210" s="7">
        <v>209</v>
      </c>
      <c r="B210" s="2" t="s">
        <v>610</v>
      </c>
      <c r="C210" s="2" t="s">
        <v>611</v>
      </c>
      <c r="D210" t="s">
        <v>653</v>
      </c>
      <c r="E210" s="2" t="s">
        <v>612</v>
      </c>
      <c r="F210" s="2" t="s">
        <v>38</v>
      </c>
      <c r="G210" s="2" t="s">
        <v>39</v>
      </c>
      <c r="H210" s="2" t="s">
        <v>20</v>
      </c>
      <c r="I210" t="str">
        <f>IF(OR('Class Attendance'!Q210="At Risk",'PD Project'!G210="At Risk",'CSC Meeting Per Student'!E210="At Risk"),"Off Track","Normal")</f>
        <v>Off Track</v>
      </c>
    </row>
    <row r="211" spans="1:9" ht="13.2" x14ac:dyDescent="0.25">
      <c r="A211" s="7">
        <v>210</v>
      </c>
      <c r="B211" s="2" t="s">
        <v>613</v>
      </c>
      <c r="C211" s="2" t="s">
        <v>444</v>
      </c>
      <c r="D211" t="s">
        <v>662</v>
      </c>
      <c r="E211" s="2" t="s">
        <v>614</v>
      </c>
      <c r="F211" s="2" t="s">
        <v>24</v>
      </c>
      <c r="G211" s="2" t="s">
        <v>43</v>
      </c>
      <c r="H211" s="2" t="s">
        <v>11</v>
      </c>
      <c r="I211" t="str">
        <f>IF(OR('Class Attendance'!Q211="At Risk",'PD Project'!G211="At Risk",'CSC Meeting Per Student'!E211="At Risk"),"Off Track","Normal")</f>
        <v>Normal</v>
      </c>
    </row>
    <row r="212" spans="1:9" ht="13.2" x14ac:dyDescent="0.25">
      <c r="A212" s="7">
        <v>211</v>
      </c>
      <c r="B212" s="2" t="s">
        <v>615</v>
      </c>
      <c r="C212" s="2" t="s">
        <v>616</v>
      </c>
      <c r="D212" t="s">
        <v>695</v>
      </c>
      <c r="E212" s="2" t="s">
        <v>617</v>
      </c>
      <c r="F212" s="2" t="s">
        <v>24</v>
      </c>
      <c r="G212" s="2" t="s">
        <v>10</v>
      </c>
      <c r="H212" s="2" t="s">
        <v>20</v>
      </c>
      <c r="I212" t="str">
        <f>IF(OR('Class Attendance'!Q212="At Risk",'PD Project'!G212="At Risk",'CSC Meeting Per Student'!E212="At Risk"),"Off Track","Normal")</f>
        <v>Normal</v>
      </c>
    </row>
    <row r="213" spans="1:9" ht="13.2" x14ac:dyDescent="0.25">
      <c r="A213" s="7">
        <v>212</v>
      </c>
      <c r="B213" s="2" t="s">
        <v>618</v>
      </c>
      <c r="C213" s="2" t="s">
        <v>619</v>
      </c>
      <c r="D213" t="s">
        <v>696</v>
      </c>
      <c r="E213" s="2" t="s">
        <v>620</v>
      </c>
      <c r="F213" s="2" t="s">
        <v>38</v>
      </c>
      <c r="G213" s="2" t="s">
        <v>39</v>
      </c>
      <c r="H213" s="2" t="s">
        <v>11</v>
      </c>
      <c r="I213" t="str">
        <f>IF(OR('Class Attendance'!Q213="At Risk",'PD Project'!G213="At Risk",'CSC Meeting Per Student'!E213="At Risk"),"Off Track","Normal")</f>
        <v>Normal</v>
      </c>
    </row>
    <row r="214" spans="1:9" ht="13.2" x14ac:dyDescent="0.25">
      <c r="A214" s="7">
        <v>213</v>
      </c>
      <c r="B214" s="2" t="s">
        <v>618</v>
      </c>
      <c r="C214" s="2" t="s">
        <v>621</v>
      </c>
      <c r="D214" t="s">
        <v>660</v>
      </c>
      <c r="E214" s="2" t="s">
        <v>622</v>
      </c>
      <c r="F214" s="2" t="s">
        <v>57</v>
      </c>
      <c r="G214" s="2" t="s">
        <v>43</v>
      </c>
      <c r="H214" s="2" t="s">
        <v>20</v>
      </c>
      <c r="I214" t="str">
        <f>IF(OR('Class Attendance'!Q214="At Risk",'PD Project'!G214="At Risk",'CSC Meeting Per Student'!E214="At Risk"),"Off Track","Normal")</f>
        <v>Normal</v>
      </c>
    </row>
    <row r="215" spans="1:9" ht="13.2" x14ac:dyDescent="0.25">
      <c r="A215" s="7">
        <v>214</v>
      </c>
      <c r="B215" s="2" t="s">
        <v>623</v>
      </c>
      <c r="C215" s="2" t="s">
        <v>624</v>
      </c>
      <c r="D215" t="s">
        <v>661</v>
      </c>
      <c r="E215" s="2" t="s">
        <v>625</v>
      </c>
      <c r="F215" s="2" t="s">
        <v>15</v>
      </c>
      <c r="G215" s="2" t="s">
        <v>43</v>
      </c>
      <c r="H215" s="2" t="s">
        <v>20</v>
      </c>
      <c r="I215" t="str">
        <f>IF(OR('Class Attendance'!Q215="At Risk",'PD Project'!G215="At Risk",'CSC Meeting Per Student'!E215="At Risk"),"Off Track","Normal")</f>
        <v>Normal</v>
      </c>
    </row>
    <row r="216" spans="1:9" ht="13.2" x14ac:dyDescent="0.25">
      <c r="A216" s="7">
        <v>215</v>
      </c>
      <c r="B216" s="2" t="s">
        <v>626</v>
      </c>
      <c r="C216" s="2" t="s">
        <v>627</v>
      </c>
      <c r="D216" t="s">
        <v>669</v>
      </c>
      <c r="E216" s="2" t="s">
        <v>628</v>
      </c>
      <c r="F216" s="2" t="s">
        <v>34</v>
      </c>
      <c r="G216" s="2" t="s">
        <v>16</v>
      </c>
      <c r="H216" s="2" t="s">
        <v>20</v>
      </c>
      <c r="I216" t="str">
        <f>IF(OR('Class Attendance'!Q216="At Risk",'PD Project'!G216="At Risk",'CSC Meeting Per Student'!E216="At Risk"),"Off Track","Normal")</f>
        <v>Off Track</v>
      </c>
    </row>
    <row r="217" spans="1:9" ht="13.2" x14ac:dyDescent="0.25">
      <c r="A217" s="7">
        <v>216</v>
      </c>
      <c r="B217" s="2" t="s">
        <v>629</v>
      </c>
      <c r="C217" s="2" t="s">
        <v>630</v>
      </c>
      <c r="D217" t="s">
        <v>671</v>
      </c>
      <c r="E217" s="2" t="s">
        <v>631</v>
      </c>
      <c r="F217" s="2" t="s">
        <v>38</v>
      </c>
      <c r="G217" s="2" t="s">
        <v>39</v>
      </c>
      <c r="H217" s="2" t="s">
        <v>20</v>
      </c>
      <c r="I217" t="str">
        <f>IF(OR('Class Attendance'!Q217="At Risk",'PD Project'!G217="At Risk",'CSC Meeting Per Student'!E217="At Risk"),"Off Track","Normal")</f>
        <v>Normal</v>
      </c>
    </row>
  </sheetData>
  <autoFilter ref="A1:I217" xr:uid="{00000000-0001-0000-0000-000000000000}"/>
  <conditionalFormatting sqref="E1">
    <cfRule type="expression" dxfId="6" priority="1">
      <formula>"C2=IF("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0829-2548-4ABA-BB6B-231B526A1F69}">
  <dimension ref="A1:I57"/>
  <sheetViews>
    <sheetView workbookViewId="0">
      <selection activeCell="A2" sqref="A2"/>
    </sheetView>
  </sheetViews>
  <sheetFormatPr baseColWidth="10" defaultRowHeight="13.2" x14ac:dyDescent="0.25"/>
  <cols>
    <col min="4" max="4" width="19.44140625" bestFit="1" customWidth="1"/>
    <col min="5" max="5" width="18.44140625" bestFit="1" customWidth="1"/>
    <col min="8" max="8" width="11.88671875" bestFit="1" customWidth="1"/>
  </cols>
  <sheetData>
    <row r="1" spans="1:9" x14ac:dyDescent="0.25">
      <c r="A1" s="5" t="s">
        <v>867</v>
      </c>
      <c r="B1" s="1" t="s">
        <v>0</v>
      </c>
      <c r="C1" s="1" t="s">
        <v>1</v>
      </c>
      <c r="D1" s="1" t="s">
        <v>632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875</v>
      </c>
    </row>
    <row r="2" spans="1:9" x14ac:dyDescent="0.25">
      <c r="A2" s="7">
        <v>1</v>
      </c>
      <c r="B2" s="2" t="s">
        <v>6</v>
      </c>
      <c r="C2" s="2" t="s">
        <v>7</v>
      </c>
      <c r="D2" t="s">
        <v>665</v>
      </c>
      <c r="E2" s="2" t="s">
        <v>8</v>
      </c>
      <c r="F2" s="2" t="s">
        <v>9</v>
      </c>
      <c r="G2" s="2" t="s">
        <v>10</v>
      </c>
      <c r="H2" s="2" t="s">
        <v>11</v>
      </c>
      <c r="I2" t="s">
        <v>876</v>
      </c>
    </row>
    <row r="3" spans="1:9" x14ac:dyDescent="0.25">
      <c r="A3" s="7">
        <v>5</v>
      </c>
      <c r="B3" s="2" t="s">
        <v>25</v>
      </c>
      <c r="C3" s="2" t="s">
        <v>26</v>
      </c>
      <c r="D3" t="s">
        <v>685</v>
      </c>
      <c r="E3" s="2" t="s">
        <v>27</v>
      </c>
      <c r="F3" s="2" t="s">
        <v>24</v>
      </c>
      <c r="G3" s="2" t="s">
        <v>10</v>
      </c>
      <c r="H3" s="2" t="s">
        <v>20</v>
      </c>
      <c r="I3" t="s">
        <v>876</v>
      </c>
    </row>
    <row r="4" spans="1:9" x14ac:dyDescent="0.25">
      <c r="A4" s="7">
        <v>6</v>
      </c>
      <c r="B4" s="2" t="s">
        <v>28</v>
      </c>
      <c r="C4" s="2" t="s">
        <v>29</v>
      </c>
      <c r="D4" t="s">
        <v>855</v>
      </c>
      <c r="E4" s="2" t="s">
        <v>30</v>
      </c>
      <c r="F4" s="2" t="s">
        <v>9</v>
      </c>
      <c r="G4" s="2" t="s">
        <v>10</v>
      </c>
      <c r="H4" s="2" t="s">
        <v>20</v>
      </c>
      <c r="I4" t="s">
        <v>876</v>
      </c>
    </row>
    <row r="5" spans="1:9" x14ac:dyDescent="0.25">
      <c r="A5" s="7">
        <v>7</v>
      </c>
      <c r="B5" s="2" t="s">
        <v>31</v>
      </c>
      <c r="C5" s="2" t="s">
        <v>32</v>
      </c>
      <c r="D5" t="s">
        <v>758</v>
      </c>
      <c r="E5" s="2" t="s">
        <v>33</v>
      </c>
      <c r="F5" s="2" t="s">
        <v>34</v>
      </c>
      <c r="G5" s="2" t="s">
        <v>16</v>
      </c>
      <c r="H5" s="2" t="s">
        <v>20</v>
      </c>
      <c r="I5" t="s">
        <v>876</v>
      </c>
    </row>
    <row r="6" spans="1:9" x14ac:dyDescent="0.25">
      <c r="A6" s="7">
        <v>8</v>
      </c>
      <c r="B6" s="2" t="s">
        <v>35</v>
      </c>
      <c r="C6" s="2" t="s">
        <v>36</v>
      </c>
      <c r="D6" t="s">
        <v>711</v>
      </c>
      <c r="E6" s="2" t="s">
        <v>37</v>
      </c>
      <c r="F6" s="2" t="s">
        <v>38</v>
      </c>
      <c r="G6" s="2" t="s">
        <v>39</v>
      </c>
      <c r="H6" s="2" t="s">
        <v>20</v>
      </c>
      <c r="I6" t="s">
        <v>876</v>
      </c>
    </row>
    <row r="7" spans="1:9" x14ac:dyDescent="0.25">
      <c r="A7" s="7">
        <v>9</v>
      </c>
      <c r="B7" s="2" t="s">
        <v>40</v>
      </c>
      <c r="C7" s="2" t="s">
        <v>41</v>
      </c>
      <c r="D7" t="s">
        <v>835</v>
      </c>
      <c r="E7" s="2" t="s">
        <v>42</v>
      </c>
      <c r="F7" s="2" t="s">
        <v>15</v>
      </c>
      <c r="G7" s="2" t="s">
        <v>43</v>
      </c>
      <c r="H7" s="2" t="s">
        <v>20</v>
      </c>
      <c r="I7" t="s">
        <v>876</v>
      </c>
    </row>
    <row r="8" spans="1:9" x14ac:dyDescent="0.25">
      <c r="A8" s="7">
        <v>10</v>
      </c>
      <c r="B8" s="2" t="s">
        <v>44</v>
      </c>
      <c r="C8" s="2" t="s">
        <v>45</v>
      </c>
      <c r="D8" t="s">
        <v>854</v>
      </c>
      <c r="E8" s="2" t="s">
        <v>46</v>
      </c>
      <c r="F8" s="2" t="s">
        <v>47</v>
      </c>
      <c r="G8" s="2" t="s">
        <v>43</v>
      </c>
      <c r="H8" s="2" t="s">
        <v>20</v>
      </c>
      <c r="I8" t="s">
        <v>876</v>
      </c>
    </row>
    <row r="9" spans="1:9" x14ac:dyDescent="0.25">
      <c r="A9" s="7">
        <v>11</v>
      </c>
      <c r="B9" s="2" t="s">
        <v>48</v>
      </c>
      <c r="C9" s="2" t="s">
        <v>49</v>
      </c>
      <c r="D9" t="s">
        <v>693</v>
      </c>
      <c r="E9" s="2" t="s">
        <v>50</v>
      </c>
      <c r="F9" s="2" t="s">
        <v>51</v>
      </c>
      <c r="G9" s="2" t="s">
        <v>39</v>
      </c>
      <c r="H9" s="2" t="s">
        <v>11</v>
      </c>
      <c r="I9" t="s">
        <v>876</v>
      </c>
    </row>
    <row r="10" spans="1:9" x14ac:dyDescent="0.25">
      <c r="A10" s="7">
        <v>12</v>
      </c>
      <c r="B10" s="2" t="s">
        <v>52</v>
      </c>
      <c r="C10" s="2" t="s">
        <v>53</v>
      </c>
      <c r="D10" t="s">
        <v>860</v>
      </c>
      <c r="E10" s="2" t="s">
        <v>54</v>
      </c>
      <c r="F10" s="2" t="s">
        <v>51</v>
      </c>
      <c r="G10" s="2" t="s">
        <v>39</v>
      </c>
      <c r="H10" s="2" t="s">
        <v>20</v>
      </c>
      <c r="I10" t="s">
        <v>876</v>
      </c>
    </row>
    <row r="11" spans="1:9" x14ac:dyDescent="0.25">
      <c r="A11" s="7">
        <v>13</v>
      </c>
      <c r="B11" s="2" t="s">
        <v>52</v>
      </c>
      <c r="C11" s="2" t="s">
        <v>55</v>
      </c>
      <c r="D11" t="s">
        <v>652</v>
      </c>
      <c r="E11" s="2" t="s">
        <v>56</v>
      </c>
      <c r="F11" s="2" t="s">
        <v>57</v>
      </c>
      <c r="G11" s="2" t="s">
        <v>43</v>
      </c>
      <c r="H11" s="2" t="s">
        <v>20</v>
      </c>
      <c r="I11" t="s">
        <v>876</v>
      </c>
    </row>
    <row r="12" spans="1:9" x14ac:dyDescent="0.25">
      <c r="A12" s="7">
        <v>16</v>
      </c>
      <c r="B12" s="2" t="s">
        <v>64</v>
      </c>
      <c r="C12" s="2" t="s">
        <v>65</v>
      </c>
      <c r="D12" t="s">
        <v>783</v>
      </c>
      <c r="E12" s="2" t="s">
        <v>66</v>
      </c>
      <c r="F12" s="2" t="s">
        <v>51</v>
      </c>
      <c r="G12" s="2" t="s">
        <v>39</v>
      </c>
      <c r="H12" s="2" t="s">
        <v>20</v>
      </c>
      <c r="I12" t="s">
        <v>876</v>
      </c>
    </row>
    <row r="13" spans="1:9" x14ac:dyDescent="0.25">
      <c r="A13" s="7">
        <v>17</v>
      </c>
      <c r="B13" s="2" t="s">
        <v>67</v>
      </c>
      <c r="C13" s="2" t="s">
        <v>68</v>
      </c>
      <c r="D13" t="s">
        <v>710</v>
      </c>
      <c r="E13" s="2" t="s">
        <v>69</v>
      </c>
      <c r="F13" s="2" t="s">
        <v>34</v>
      </c>
      <c r="G13" s="2" t="s">
        <v>16</v>
      </c>
      <c r="H13" s="2" t="s">
        <v>20</v>
      </c>
      <c r="I13" t="s">
        <v>876</v>
      </c>
    </row>
    <row r="14" spans="1:9" x14ac:dyDescent="0.25">
      <c r="A14" s="7">
        <v>20</v>
      </c>
      <c r="B14" s="2" t="s">
        <v>75</v>
      </c>
      <c r="C14" s="2" t="s">
        <v>76</v>
      </c>
      <c r="D14" t="s">
        <v>684</v>
      </c>
      <c r="E14" s="2" t="s">
        <v>77</v>
      </c>
      <c r="F14" s="2" t="s">
        <v>78</v>
      </c>
      <c r="G14" s="2" t="s">
        <v>16</v>
      </c>
      <c r="H14" s="2" t="s">
        <v>11</v>
      </c>
      <c r="I14" t="s">
        <v>876</v>
      </c>
    </row>
    <row r="15" spans="1:9" x14ac:dyDescent="0.25">
      <c r="A15" s="7">
        <v>22</v>
      </c>
      <c r="B15" s="2" t="s">
        <v>82</v>
      </c>
      <c r="C15" s="2" t="s">
        <v>83</v>
      </c>
      <c r="D15" t="s">
        <v>833</v>
      </c>
      <c r="E15" s="2" t="s">
        <v>84</v>
      </c>
      <c r="F15" s="2" t="s">
        <v>24</v>
      </c>
      <c r="G15" s="2" t="s">
        <v>10</v>
      </c>
      <c r="H15" s="2" t="s">
        <v>20</v>
      </c>
      <c r="I15" t="s">
        <v>876</v>
      </c>
    </row>
    <row r="16" spans="1:9" x14ac:dyDescent="0.25">
      <c r="A16" s="7">
        <v>23</v>
      </c>
      <c r="B16" s="2" t="s">
        <v>85</v>
      </c>
      <c r="C16" s="2" t="s">
        <v>86</v>
      </c>
      <c r="D16" t="s">
        <v>848</v>
      </c>
      <c r="E16" s="2" t="s">
        <v>87</v>
      </c>
      <c r="F16" s="2" t="s">
        <v>15</v>
      </c>
      <c r="G16" s="2" t="s">
        <v>16</v>
      </c>
      <c r="H16" s="2" t="s">
        <v>20</v>
      </c>
      <c r="I16" t="s">
        <v>876</v>
      </c>
    </row>
    <row r="17" spans="1:9" x14ac:dyDescent="0.25">
      <c r="A17" s="7">
        <v>27</v>
      </c>
      <c r="B17" s="2" t="s">
        <v>97</v>
      </c>
      <c r="C17" s="2" t="s">
        <v>98</v>
      </c>
      <c r="D17" t="s">
        <v>650</v>
      </c>
      <c r="E17" s="2" t="s">
        <v>99</v>
      </c>
      <c r="F17" s="2" t="s">
        <v>38</v>
      </c>
      <c r="G17" s="2" t="s">
        <v>39</v>
      </c>
      <c r="H17" s="2" t="s">
        <v>20</v>
      </c>
      <c r="I17" t="s">
        <v>876</v>
      </c>
    </row>
    <row r="18" spans="1:9" x14ac:dyDescent="0.25">
      <c r="A18" s="7">
        <v>28</v>
      </c>
      <c r="B18" s="2" t="s">
        <v>100</v>
      </c>
      <c r="C18" s="2" t="s">
        <v>101</v>
      </c>
      <c r="D18" t="s">
        <v>845</v>
      </c>
      <c r="E18" s="2" t="s">
        <v>102</v>
      </c>
      <c r="F18" s="2" t="s">
        <v>57</v>
      </c>
      <c r="G18" s="2" t="s">
        <v>43</v>
      </c>
      <c r="H18" s="2" t="s">
        <v>20</v>
      </c>
      <c r="I18" t="s">
        <v>876</v>
      </c>
    </row>
    <row r="19" spans="1:9" x14ac:dyDescent="0.25">
      <c r="A19" s="7">
        <v>33</v>
      </c>
      <c r="B19" s="2" t="s">
        <v>114</v>
      </c>
      <c r="C19" s="2" t="s">
        <v>115</v>
      </c>
      <c r="D19" t="s">
        <v>683</v>
      </c>
      <c r="E19" s="2" t="s">
        <v>116</v>
      </c>
      <c r="F19" s="2" t="s">
        <v>38</v>
      </c>
      <c r="G19" s="2" t="s">
        <v>39</v>
      </c>
      <c r="H19" s="2" t="s">
        <v>20</v>
      </c>
      <c r="I19" t="s">
        <v>876</v>
      </c>
    </row>
    <row r="20" spans="1:9" x14ac:dyDescent="0.25">
      <c r="A20" s="7">
        <v>34</v>
      </c>
      <c r="B20" s="2" t="s">
        <v>117</v>
      </c>
      <c r="C20" s="2" t="s">
        <v>118</v>
      </c>
      <c r="D20" t="s">
        <v>675</v>
      </c>
      <c r="E20" s="2" t="s">
        <v>119</v>
      </c>
      <c r="F20" s="2" t="s">
        <v>57</v>
      </c>
      <c r="G20" s="2" t="s">
        <v>43</v>
      </c>
      <c r="H20" s="2" t="s">
        <v>20</v>
      </c>
      <c r="I20" t="s">
        <v>876</v>
      </c>
    </row>
    <row r="21" spans="1:9" x14ac:dyDescent="0.25">
      <c r="A21" s="7">
        <v>38</v>
      </c>
      <c r="B21" s="2" t="s">
        <v>128</v>
      </c>
      <c r="C21" s="2" t="s">
        <v>129</v>
      </c>
      <c r="D21" t="s">
        <v>822</v>
      </c>
      <c r="E21" s="2" t="s">
        <v>130</v>
      </c>
      <c r="F21" s="2" t="s">
        <v>15</v>
      </c>
      <c r="G21" s="2" t="s">
        <v>16</v>
      </c>
      <c r="H21" s="2" t="s">
        <v>20</v>
      </c>
      <c r="I21" t="s">
        <v>876</v>
      </c>
    </row>
    <row r="22" spans="1:9" x14ac:dyDescent="0.25">
      <c r="A22" s="7">
        <v>41</v>
      </c>
      <c r="B22" s="2" t="s">
        <v>135</v>
      </c>
      <c r="C22" s="2" t="s">
        <v>136</v>
      </c>
      <c r="D22" t="s">
        <v>674</v>
      </c>
      <c r="E22" s="2" t="s">
        <v>137</v>
      </c>
      <c r="F22" s="2" t="s">
        <v>24</v>
      </c>
      <c r="G22" s="2" t="s">
        <v>43</v>
      </c>
      <c r="H22" s="2" t="s">
        <v>20</v>
      </c>
      <c r="I22" t="s">
        <v>876</v>
      </c>
    </row>
    <row r="23" spans="1:9" x14ac:dyDescent="0.25">
      <c r="A23" s="7">
        <v>43</v>
      </c>
      <c r="B23" s="2" t="s">
        <v>141</v>
      </c>
      <c r="C23" s="2" t="s">
        <v>142</v>
      </c>
      <c r="D23" t="s">
        <v>827</v>
      </c>
      <c r="E23" s="2" t="s">
        <v>143</v>
      </c>
      <c r="F23" s="2" t="s">
        <v>34</v>
      </c>
      <c r="G23" s="2" t="s">
        <v>16</v>
      </c>
      <c r="H23" s="2" t="s">
        <v>20</v>
      </c>
      <c r="I23" t="s">
        <v>876</v>
      </c>
    </row>
    <row r="24" spans="1:9" x14ac:dyDescent="0.25">
      <c r="A24" s="7">
        <v>49</v>
      </c>
      <c r="B24" s="2" t="s">
        <v>159</v>
      </c>
      <c r="C24" s="2" t="s">
        <v>160</v>
      </c>
      <c r="D24" t="s">
        <v>682</v>
      </c>
      <c r="E24" s="2" t="s">
        <v>161</v>
      </c>
      <c r="F24" s="2" t="s">
        <v>57</v>
      </c>
      <c r="G24" s="2" t="s">
        <v>43</v>
      </c>
      <c r="H24" s="2" t="s">
        <v>20</v>
      </c>
      <c r="I24" t="s">
        <v>876</v>
      </c>
    </row>
    <row r="25" spans="1:9" x14ac:dyDescent="0.25">
      <c r="A25" s="7">
        <v>52</v>
      </c>
      <c r="B25" s="2" t="s">
        <v>168</v>
      </c>
      <c r="C25" s="2" t="s">
        <v>169</v>
      </c>
      <c r="D25" t="s">
        <v>828</v>
      </c>
      <c r="E25" s="2" t="s">
        <v>170</v>
      </c>
      <c r="F25" s="2" t="s">
        <v>51</v>
      </c>
      <c r="G25" s="2" t="s">
        <v>39</v>
      </c>
      <c r="H25" s="2" t="s">
        <v>20</v>
      </c>
      <c r="I25" t="s">
        <v>876</v>
      </c>
    </row>
    <row r="26" spans="1:9" x14ac:dyDescent="0.25">
      <c r="A26" s="7">
        <v>58</v>
      </c>
      <c r="B26" s="2" t="s">
        <v>185</v>
      </c>
      <c r="C26" s="2" t="s">
        <v>186</v>
      </c>
      <c r="D26" t="s">
        <v>759</v>
      </c>
      <c r="E26" s="2" t="s">
        <v>187</v>
      </c>
      <c r="F26" s="2" t="s">
        <v>34</v>
      </c>
      <c r="G26" s="2" t="s">
        <v>16</v>
      </c>
      <c r="H26" s="2" t="s">
        <v>20</v>
      </c>
      <c r="I26" t="s">
        <v>876</v>
      </c>
    </row>
    <row r="27" spans="1:9" x14ac:dyDescent="0.25">
      <c r="A27" s="7">
        <v>62</v>
      </c>
      <c r="B27" s="2" t="s">
        <v>197</v>
      </c>
      <c r="C27" s="2" t="s">
        <v>198</v>
      </c>
      <c r="D27" t="s">
        <v>648</v>
      </c>
      <c r="E27" s="2" t="s">
        <v>199</v>
      </c>
      <c r="F27" s="2" t="s">
        <v>57</v>
      </c>
      <c r="G27" s="2" t="s">
        <v>43</v>
      </c>
      <c r="H27" s="2" t="s">
        <v>11</v>
      </c>
      <c r="I27" t="s">
        <v>876</v>
      </c>
    </row>
    <row r="28" spans="1:9" x14ac:dyDescent="0.25">
      <c r="A28" s="7">
        <v>74</v>
      </c>
      <c r="B28" s="2" t="s">
        <v>233</v>
      </c>
      <c r="C28" s="2" t="s">
        <v>234</v>
      </c>
      <c r="D28" t="s">
        <v>681</v>
      </c>
      <c r="E28" s="2" t="s">
        <v>235</v>
      </c>
      <c r="F28" s="2" t="s">
        <v>38</v>
      </c>
      <c r="G28" s="2" t="s">
        <v>39</v>
      </c>
      <c r="H28" s="2" t="s">
        <v>11</v>
      </c>
      <c r="I28" t="s">
        <v>876</v>
      </c>
    </row>
    <row r="29" spans="1:9" x14ac:dyDescent="0.25">
      <c r="A29" s="7">
        <v>79</v>
      </c>
      <c r="B29" s="2" t="s">
        <v>246</v>
      </c>
      <c r="C29" s="2" t="s">
        <v>247</v>
      </c>
      <c r="D29" t="s">
        <v>792</v>
      </c>
      <c r="E29" s="2" t="s">
        <v>248</v>
      </c>
      <c r="F29" s="2" t="s">
        <v>24</v>
      </c>
      <c r="G29" s="2" t="s">
        <v>10</v>
      </c>
      <c r="H29" s="2" t="s">
        <v>20</v>
      </c>
      <c r="I29" t="s">
        <v>876</v>
      </c>
    </row>
    <row r="30" spans="1:9" x14ac:dyDescent="0.25">
      <c r="A30" s="7">
        <v>80</v>
      </c>
      <c r="B30" s="2" t="s">
        <v>249</v>
      </c>
      <c r="C30" s="2" t="s">
        <v>250</v>
      </c>
      <c r="D30" t="s">
        <v>794</v>
      </c>
      <c r="E30" s="2" t="s">
        <v>251</v>
      </c>
      <c r="F30" s="2" t="s">
        <v>9</v>
      </c>
      <c r="G30" s="2" t="s">
        <v>10</v>
      </c>
      <c r="H30" s="2" t="s">
        <v>20</v>
      </c>
      <c r="I30" t="s">
        <v>876</v>
      </c>
    </row>
    <row r="31" spans="1:9" x14ac:dyDescent="0.25">
      <c r="A31" s="7">
        <v>84</v>
      </c>
      <c r="B31" s="2" t="s">
        <v>261</v>
      </c>
      <c r="C31" s="2" t="s">
        <v>160</v>
      </c>
      <c r="D31" t="s">
        <v>790</v>
      </c>
      <c r="E31" s="2" t="s">
        <v>262</v>
      </c>
      <c r="F31" s="2" t="s">
        <v>47</v>
      </c>
      <c r="G31" s="2" t="s">
        <v>43</v>
      </c>
      <c r="H31" s="2" t="s">
        <v>20</v>
      </c>
      <c r="I31" t="s">
        <v>876</v>
      </c>
    </row>
    <row r="32" spans="1:9" x14ac:dyDescent="0.25">
      <c r="A32" s="7">
        <v>94</v>
      </c>
      <c r="B32" s="2" t="s">
        <v>289</v>
      </c>
      <c r="C32" s="2" t="s">
        <v>290</v>
      </c>
      <c r="D32" t="s">
        <v>781</v>
      </c>
      <c r="E32" s="2" t="s">
        <v>291</v>
      </c>
      <c r="F32" s="2" t="s">
        <v>78</v>
      </c>
      <c r="G32" s="2" t="s">
        <v>39</v>
      </c>
      <c r="H32" s="2" t="s">
        <v>20</v>
      </c>
      <c r="I32" t="s">
        <v>876</v>
      </c>
    </row>
    <row r="33" spans="1:9" x14ac:dyDescent="0.25">
      <c r="A33" s="7">
        <v>100</v>
      </c>
      <c r="B33" s="2" t="s">
        <v>304</v>
      </c>
      <c r="C33" s="2" t="s">
        <v>307</v>
      </c>
      <c r="D33" t="s">
        <v>659</v>
      </c>
      <c r="E33" s="2" t="s">
        <v>308</v>
      </c>
      <c r="F33" s="2" t="s">
        <v>9</v>
      </c>
      <c r="G33" s="2" t="s">
        <v>10</v>
      </c>
      <c r="H33" s="2" t="s">
        <v>20</v>
      </c>
      <c r="I33" t="s">
        <v>876</v>
      </c>
    </row>
    <row r="34" spans="1:9" x14ac:dyDescent="0.25">
      <c r="A34" s="7">
        <v>106</v>
      </c>
      <c r="B34" s="2" t="s">
        <v>323</v>
      </c>
      <c r="C34" s="2" t="s">
        <v>189</v>
      </c>
      <c r="D34" t="s">
        <v>775</v>
      </c>
      <c r="E34" s="2" t="s">
        <v>324</v>
      </c>
      <c r="F34" s="2" t="s">
        <v>9</v>
      </c>
      <c r="G34" s="2" t="s">
        <v>10</v>
      </c>
      <c r="H34" s="2" t="s">
        <v>11</v>
      </c>
      <c r="I34" t="s">
        <v>876</v>
      </c>
    </row>
    <row r="35" spans="1:9" x14ac:dyDescent="0.25">
      <c r="A35" s="7">
        <v>110</v>
      </c>
      <c r="B35" s="2" t="s">
        <v>333</v>
      </c>
      <c r="C35" s="2" t="s">
        <v>237</v>
      </c>
      <c r="D35" t="s">
        <v>651</v>
      </c>
      <c r="E35" s="2" t="s">
        <v>334</v>
      </c>
      <c r="F35" s="2" t="s">
        <v>34</v>
      </c>
      <c r="G35" s="2" t="s">
        <v>16</v>
      </c>
      <c r="H35" s="2" t="s">
        <v>11</v>
      </c>
      <c r="I35" t="s">
        <v>876</v>
      </c>
    </row>
    <row r="36" spans="1:9" x14ac:dyDescent="0.25">
      <c r="A36" s="7">
        <v>121</v>
      </c>
      <c r="B36" s="2" t="s">
        <v>363</v>
      </c>
      <c r="C36" s="2" t="s">
        <v>364</v>
      </c>
      <c r="D36" t="s">
        <v>676</v>
      </c>
      <c r="E36" s="2" t="s">
        <v>365</v>
      </c>
      <c r="F36" s="2" t="s">
        <v>57</v>
      </c>
      <c r="G36" s="2" t="s">
        <v>43</v>
      </c>
      <c r="H36" s="2" t="s">
        <v>20</v>
      </c>
      <c r="I36" t="s">
        <v>876</v>
      </c>
    </row>
    <row r="37" spans="1:9" x14ac:dyDescent="0.25">
      <c r="A37" s="7">
        <v>125</v>
      </c>
      <c r="B37" s="2" t="s">
        <v>374</v>
      </c>
      <c r="C37" s="2" t="s">
        <v>375</v>
      </c>
      <c r="D37" t="s">
        <v>654</v>
      </c>
      <c r="E37" s="2" t="s">
        <v>376</v>
      </c>
      <c r="F37" s="2" t="s">
        <v>24</v>
      </c>
      <c r="G37" s="2" t="s">
        <v>10</v>
      </c>
      <c r="H37" s="2" t="s">
        <v>20</v>
      </c>
      <c r="I37" t="s">
        <v>876</v>
      </c>
    </row>
    <row r="38" spans="1:9" x14ac:dyDescent="0.25">
      <c r="A38" s="7">
        <v>127</v>
      </c>
      <c r="B38" s="2" t="s">
        <v>380</v>
      </c>
      <c r="C38" s="2" t="s">
        <v>381</v>
      </c>
      <c r="D38" t="s">
        <v>762</v>
      </c>
      <c r="E38" s="2" t="s">
        <v>382</v>
      </c>
      <c r="F38" s="2" t="s">
        <v>24</v>
      </c>
      <c r="G38" s="2" t="s">
        <v>43</v>
      </c>
      <c r="H38" s="2" t="s">
        <v>11</v>
      </c>
      <c r="I38" t="s">
        <v>876</v>
      </c>
    </row>
    <row r="39" spans="1:9" x14ac:dyDescent="0.25">
      <c r="A39" s="7">
        <v>128</v>
      </c>
      <c r="B39" s="2" t="s">
        <v>383</v>
      </c>
      <c r="C39" s="2" t="s">
        <v>384</v>
      </c>
      <c r="D39" t="s">
        <v>816</v>
      </c>
      <c r="E39" s="2" t="s">
        <v>385</v>
      </c>
      <c r="F39" s="2" t="s">
        <v>78</v>
      </c>
      <c r="G39" s="2" t="s">
        <v>16</v>
      </c>
      <c r="H39" s="2" t="s">
        <v>20</v>
      </c>
      <c r="I39" t="s">
        <v>876</v>
      </c>
    </row>
    <row r="40" spans="1:9" x14ac:dyDescent="0.25">
      <c r="A40" s="7">
        <v>136</v>
      </c>
      <c r="B40" s="2" t="s">
        <v>406</v>
      </c>
      <c r="C40" s="2" t="s">
        <v>407</v>
      </c>
      <c r="D40" t="s">
        <v>668</v>
      </c>
      <c r="E40" s="2" t="s">
        <v>408</v>
      </c>
      <c r="F40" s="2" t="s">
        <v>9</v>
      </c>
      <c r="G40" s="2" t="s">
        <v>10</v>
      </c>
      <c r="H40" s="2" t="s">
        <v>20</v>
      </c>
      <c r="I40" t="s">
        <v>876</v>
      </c>
    </row>
    <row r="41" spans="1:9" x14ac:dyDescent="0.25">
      <c r="A41" s="7">
        <v>137</v>
      </c>
      <c r="B41" s="2" t="s">
        <v>409</v>
      </c>
      <c r="C41" s="2" t="s">
        <v>410</v>
      </c>
      <c r="D41" t="s">
        <v>667</v>
      </c>
      <c r="E41" s="2" t="s">
        <v>411</v>
      </c>
      <c r="F41" s="2" t="s">
        <v>15</v>
      </c>
      <c r="G41" s="2" t="s">
        <v>43</v>
      </c>
      <c r="H41" s="2" t="s">
        <v>20</v>
      </c>
      <c r="I41" t="s">
        <v>876</v>
      </c>
    </row>
    <row r="42" spans="1:9" x14ac:dyDescent="0.25">
      <c r="A42" s="7">
        <v>138</v>
      </c>
      <c r="B42" s="2" t="s">
        <v>412</v>
      </c>
      <c r="C42" s="2" t="s">
        <v>413</v>
      </c>
      <c r="D42" t="s">
        <v>707</v>
      </c>
      <c r="E42" s="2" t="s">
        <v>414</v>
      </c>
      <c r="F42" s="2" t="s">
        <v>47</v>
      </c>
      <c r="G42" s="2" t="s">
        <v>43</v>
      </c>
      <c r="H42" s="2" t="s">
        <v>20</v>
      </c>
      <c r="I42" t="s">
        <v>876</v>
      </c>
    </row>
    <row r="43" spans="1:9" x14ac:dyDescent="0.25">
      <c r="A43" s="7">
        <v>142</v>
      </c>
      <c r="B43" s="2" t="s">
        <v>423</v>
      </c>
      <c r="C43" s="2" t="s">
        <v>424</v>
      </c>
      <c r="D43" t="s">
        <v>747</v>
      </c>
      <c r="E43" s="2" t="s">
        <v>425</v>
      </c>
      <c r="F43" s="2" t="s">
        <v>38</v>
      </c>
      <c r="G43" s="2" t="s">
        <v>39</v>
      </c>
      <c r="H43" s="2" t="s">
        <v>20</v>
      </c>
      <c r="I43" t="s">
        <v>876</v>
      </c>
    </row>
    <row r="44" spans="1:9" x14ac:dyDescent="0.25">
      <c r="A44" s="7">
        <v>147</v>
      </c>
      <c r="B44" s="2" t="s">
        <v>437</v>
      </c>
      <c r="C44" s="2" t="s">
        <v>438</v>
      </c>
      <c r="D44" t="s">
        <v>802</v>
      </c>
      <c r="E44" s="2" t="s">
        <v>439</v>
      </c>
      <c r="F44" s="2" t="s">
        <v>47</v>
      </c>
      <c r="G44" s="2" t="s">
        <v>43</v>
      </c>
      <c r="H44" s="2" t="s">
        <v>20</v>
      </c>
      <c r="I44" t="s">
        <v>876</v>
      </c>
    </row>
    <row r="45" spans="1:9" x14ac:dyDescent="0.25">
      <c r="A45" s="7">
        <v>152</v>
      </c>
      <c r="B45" s="2" t="s">
        <v>451</v>
      </c>
      <c r="C45" s="2" t="s">
        <v>452</v>
      </c>
      <c r="D45" t="s">
        <v>818</v>
      </c>
      <c r="E45" s="2" t="s">
        <v>453</v>
      </c>
      <c r="F45" s="2" t="s">
        <v>9</v>
      </c>
      <c r="G45" s="2" t="s">
        <v>10</v>
      </c>
      <c r="H45" s="2" t="s">
        <v>20</v>
      </c>
      <c r="I45" t="s">
        <v>876</v>
      </c>
    </row>
    <row r="46" spans="1:9" x14ac:dyDescent="0.25">
      <c r="A46" s="7">
        <v>154</v>
      </c>
      <c r="B46" s="2" t="s">
        <v>457</v>
      </c>
      <c r="C46" s="2" t="s">
        <v>458</v>
      </c>
      <c r="D46" t="s">
        <v>680</v>
      </c>
      <c r="E46" s="2" t="s">
        <v>459</v>
      </c>
      <c r="F46" s="2" t="s">
        <v>57</v>
      </c>
      <c r="G46" s="2" t="s">
        <v>43</v>
      </c>
      <c r="H46" s="2" t="s">
        <v>20</v>
      </c>
      <c r="I46" t="s">
        <v>876</v>
      </c>
    </row>
    <row r="47" spans="1:9" x14ac:dyDescent="0.25">
      <c r="A47" s="7">
        <v>163</v>
      </c>
      <c r="B47" s="2" t="s">
        <v>483</v>
      </c>
      <c r="C47" s="2" t="s">
        <v>484</v>
      </c>
      <c r="D47" t="s">
        <v>658</v>
      </c>
      <c r="E47" s="2" t="s">
        <v>485</v>
      </c>
      <c r="F47" s="2" t="s">
        <v>34</v>
      </c>
      <c r="G47" s="2" t="s">
        <v>16</v>
      </c>
      <c r="H47" s="2" t="s">
        <v>11</v>
      </c>
      <c r="I47" t="s">
        <v>876</v>
      </c>
    </row>
    <row r="48" spans="1:9" x14ac:dyDescent="0.25">
      <c r="A48" s="7">
        <v>165</v>
      </c>
      <c r="B48" s="2" t="s">
        <v>489</v>
      </c>
      <c r="C48" s="2" t="s">
        <v>490</v>
      </c>
      <c r="D48" t="s">
        <v>657</v>
      </c>
      <c r="E48" s="2" t="s">
        <v>491</v>
      </c>
      <c r="F48" s="2" t="s">
        <v>51</v>
      </c>
      <c r="G48" s="2" t="s">
        <v>39</v>
      </c>
      <c r="H48" s="2" t="s">
        <v>20</v>
      </c>
      <c r="I48" t="s">
        <v>876</v>
      </c>
    </row>
    <row r="49" spans="1:9" x14ac:dyDescent="0.25">
      <c r="A49" s="7">
        <v>170</v>
      </c>
      <c r="B49" s="2" t="s">
        <v>502</v>
      </c>
      <c r="C49" s="2" t="s">
        <v>503</v>
      </c>
      <c r="D49" t="s">
        <v>731</v>
      </c>
      <c r="E49" s="2" t="s">
        <v>504</v>
      </c>
      <c r="F49" s="2" t="s">
        <v>57</v>
      </c>
      <c r="G49" s="2" t="s">
        <v>43</v>
      </c>
      <c r="H49" s="2" t="s">
        <v>20</v>
      </c>
      <c r="I49" t="s">
        <v>876</v>
      </c>
    </row>
    <row r="50" spans="1:9" x14ac:dyDescent="0.25">
      <c r="A50" s="7">
        <v>179</v>
      </c>
      <c r="B50" s="2" t="s">
        <v>528</v>
      </c>
      <c r="C50" s="2" t="s">
        <v>529</v>
      </c>
      <c r="D50" t="s">
        <v>656</v>
      </c>
      <c r="E50" s="2" t="s">
        <v>530</v>
      </c>
      <c r="F50" s="2" t="s">
        <v>15</v>
      </c>
      <c r="G50" s="2" t="s">
        <v>16</v>
      </c>
      <c r="H50" s="2" t="s">
        <v>20</v>
      </c>
      <c r="I50" t="s">
        <v>876</v>
      </c>
    </row>
    <row r="51" spans="1:9" x14ac:dyDescent="0.25">
      <c r="A51" s="7">
        <v>182</v>
      </c>
      <c r="B51" s="2" t="s">
        <v>537</v>
      </c>
      <c r="C51" s="2" t="s">
        <v>538</v>
      </c>
      <c r="D51" t="s">
        <v>678</v>
      </c>
      <c r="E51" s="2" t="s">
        <v>539</v>
      </c>
      <c r="F51" s="2" t="s">
        <v>9</v>
      </c>
      <c r="G51" s="2" t="s">
        <v>10</v>
      </c>
      <c r="H51" s="2" t="s">
        <v>20</v>
      </c>
      <c r="I51" t="s">
        <v>876</v>
      </c>
    </row>
    <row r="52" spans="1:9" x14ac:dyDescent="0.25">
      <c r="A52" s="7">
        <v>186</v>
      </c>
      <c r="B52" s="2" t="s">
        <v>548</v>
      </c>
      <c r="C52" s="2" t="s">
        <v>549</v>
      </c>
      <c r="D52" t="s">
        <v>719</v>
      </c>
      <c r="E52" s="2" t="s">
        <v>550</v>
      </c>
      <c r="F52" s="2" t="s">
        <v>15</v>
      </c>
      <c r="G52" s="2" t="s">
        <v>43</v>
      </c>
      <c r="H52" s="2" t="s">
        <v>20</v>
      </c>
      <c r="I52" t="s">
        <v>876</v>
      </c>
    </row>
    <row r="53" spans="1:9" x14ac:dyDescent="0.25">
      <c r="A53" s="7">
        <v>188</v>
      </c>
      <c r="B53" s="2" t="s">
        <v>554</v>
      </c>
      <c r="C53" s="2" t="s">
        <v>237</v>
      </c>
      <c r="D53" t="s">
        <v>655</v>
      </c>
      <c r="E53" s="2" t="s">
        <v>555</v>
      </c>
      <c r="F53" s="2" t="s">
        <v>78</v>
      </c>
      <c r="G53" s="2" t="s">
        <v>16</v>
      </c>
      <c r="H53" s="2" t="s">
        <v>11</v>
      </c>
      <c r="I53" t="s">
        <v>876</v>
      </c>
    </row>
    <row r="54" spans="1:9" x14ac:dyDescent="0.25">
      <c r="A54" s="7">
        <v>192</v>
      </c>
      <c r="B54" s="2" t="s">
        <v>565</v>
      </c>
      <c r="C54" s="2" t="s">
        <v>566</v>
      </c>
      <c r="D54" t="s">
        <v>673</v>
      </c>
      <c r="E54" s="2" t="s">
        <v>567</v>
      </c>
      <c r="F54" s="2" t="s">
        <v>51</v>
      </c>
      <c r="G54" s="2" t="s">
        <v>39</v>
      </c>
      <c r="H54" s="2" t="s">
        <v>11</v>
      </c>
      <c r="I54" t="s">
        <v>876</v>
      </c>
    </row>
    <row r="55" spans="1:9" x14ac:dyDescent="0.25">
      <c r="A55" s="7">
        <v>208</v>
      </c>
      <c r="B55" s="2" t="s">
        <v>607</v>
      </c>
      <c r="C55" s="2" t="s">
        <v>608</v>
      </c>
      <c r="D55" t="s">
        <v>679</v>
      </c>
      <c r="E55" s="2" t="s">
        <v>609</v>
      </c>
      <c r="F55" s="2" t="s">
        <v>78</v>
      </c>
      <c r="G55" s="2" t="s">
        <v>16</v>
      </c>
      <c r="H55" s="2" t="s">
        <v>20</v>
      </c>
      <c r="I55" t="s">
        <v>876</v>
      </c>
    </row>
    <row r="56" spans="1:9" x14ac:dyDescent="0.25">
      <c r="A56" s="7">
        <v>209</v>
      </c>
      <c r="B56" s="2" t="s">
        <v>610</v>
      </c>
      <c r="C56" s="2" t="s">
        <v>611</v>
      </c>
      <c r="D56" t="s">
        <v>653</v>
      </c>
      <c r="E56" s="2" t="s">
        <v>612</v>
      </c>
      <c r="F56" s="2" t="s">
        <v>38</v>
      </c>
      <c r="G56" s="2" t="s">
        <v>39</v>
      </c>
      <c r="H56" s="2" t="s">
        <v>20</v>
      </c>
      <c r="I56" t="s">
        <v>876</v>
      </c>
    </row>
    <row r="57" spans="1:9" x14ac:dyDescent="0.25">
      <c r="A57" s="7">
        <v>215</v>
      </c>
      <c r="B57" s="2" t="s">
        <v>626</v>
      </c>
      <c r="C57" s="2" t="s">
        <v>627</v>
      </c>
      <c r="D57" t="s">
        <v>669</v>
      </c>
      <c r="E57" s="2" t="s">
        <v>628</v>
      </c>
      <c r="F57" s="2" t="s">
        <v>34</v>
      </c>
      <c r="G57" s="2" t="s">
        <v>16</v>
      </c>
      <c r="H57" s="2" t="s">
        <v>20</v>
      </c>
      <c r="I57" t="s">
        <v>876</v>
      </c>
    </row>
  </sheetData>
  <conditionalFormatting sqref="E1">
    <cfRule type="expression" dxfId="5" priority="1">
      <formula>"C2=IF("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17"/>
  <sheetViews>
    <sheetView tabSelected="1" workbookViewId="0">
      <pane ySplit="1" topLeftCell="A100" activePane="bottomLeft" state="frozen"/>
      <selection pane="bottomLeft" sqref="A1:A1048576"/>
    </sheetView>
  </sheetViews>
  <sheetFormatPr baseColWidth="10" defaultColWidth="12.6640625" defaultRowHeight="15.75" customHeight="1" x14ac:dyDescent="0.25"/>
  <cols>
    <col min="1" max="1" width="23.44140625" customWidth="1"/>
    <col min="2" max="2" width="21.33203125" customWidth="1"/>
    <col min="3" max="14" width="9.21875" customWidth="1"/>
    <col min="17" max="17" width="17.21875" bestFit="1" customWidth="1"/>
  </cols>
  <sheetData>
    <row r="1" spans="1:17" ht="13.2" x14ac:dyDescent="0.25">
      <c r="A1" s="1" t="s">
        <v>632</v>
      </c>
      <c r="B1" s="1" t="s">
        <v>2</v>
      </c>
      <c r="C1" s="3" t="s">
        <v>633</v>
      </c>
      <c r="D1" s="3" t="s">
        <v>634</v>
      </c>
      <c r="E1" s="3" t="s">
        <v>635</v>
      </c>
      <c r="F1" s="3" t="s">
        <v>636</v>
      </c>
      <c r="G1" s="3" t="s">
        <v>637</v>
      </c>
      <c r="H1" s="3" t="s">
        <v>638</v>
      </c>
      <c r="I1" s="3" t="s">
        <v>639</v>
      </c>
      <c r="J1" s="3" t="s">
        <v>640</v>
      </c>
      <c r="K1" s="3" t="s">
        <v>641</v>
      </c>
      <c r="L1" s="3" t="s">
        <v>642</v>
      </c>
      <c r="M1" s="3" t="s">
        <v>643</v>
      </c>
      <c r="N1" s="3" t="s">
        <v>644</v>
      </c>
      <c r="O1" s="9" t="s">
        <v>868</v>
      </c>
      <c r="P1" s="9" t="s">
        <v>869</v>
      </c>
      <c r="Q1" s="9" t="s">
        <v>871</v>
      </c>
    </row>
    <row r="2" spans="1:17" ht="13.2" x14ac:dyDescent="0.25">
      <c r="A2" s="2" t="s">
        <v>645</v>
      </c>
      <c r="B2" s="2" t="s">
        <v>353</v>
      </c>
      <c r="C2" s="4" t="s">
        <v>646</v>
      </c>
      <c r="D2" s="4" t="s">
        <v>646</v>
      </c>
      <c r="E2" s="4" t="s">
        <v>647</v>
      </c>
      <c r="F2" s="4" t="s">
        <v>646</v>
      </c>
      <c r="G2" s="4" t="s">
        <v>646</v>
      </c>
      <c r="H2" s="4" t="s">
        <v>646</v>
      </c>
      <c r="I2" s="4" t="s">
        <v>646</v>
      </c>
      <c r="J2" s="4" t="s">
        <v>646</v>
      </c>
      <c r="K2" s="4" t="s">
        <v>646</v>
      </c>
      <c r="L2" s="4" t="s">
        <v>646</v>
      </c>
      <c r="M2" s="4" t="s">
        <v>646</v>
      </c>
      <c r="N2" s="4" t="s">
        <v>647</v>
      </c>
      <c r="O2">
        <f>+COUNTIF(C2:N2,"Present")</f>
        <v>10</v>
      </c>
      <c r="P2">
        <f>+COUNTIF(C2:O2,"Absent")</f>
        <v>2</v>
      </c>
      <c r="Q2" t="str">
        <f>IF(P2&gt;3,"At Risk","Normal")</f>
        <v>Normal</v>
      </c>
    </row>
    <row r="3" spans="1:17" ht="13.2" x14ac:dyDescent="0.25">
      <c r="A3" s="2" t="s">
        <v>648</v>
      </c>
      <c r="B3" s="2" t="s">
        <v>199</v>
      </c>
      <c r="C3" s="4" t="s">
        <v>646</v>
      </c>
      <c r="D3" s="4" t="s">
        <v>646</v>
      </c>
      <c r="E3" s="4" t="s">
        <v>646</v>
      </c>
      <c r="F3" s="4" t="s">
        <v>646</v>
      </c>
      <c r="G3" s="4" t="s">
        <v>646</v>
      </c>
      <c r="H3" s="4" t="s">
        <v>646</v>
      </c>
      <c r="I3" s="4" t="s">
        <v>646</v>
      </c>
      <c r="J3" s="4" t="s">
        <v>646</v>
      </c>
      <c r="K3" s="4" t="s">
        <v>646</v>
      </c>
      <c r="L3" s="4" t="s">
        <v>646</v>
      </c>
      <c r="M3" s="4" t="s">
        <v>647</v>
      </c>
      <c r="N3" s="4" t="s">
        <v>647</v>
      </c>
      <c r="O3">
        <f t="shared" ref="O3:O66" si="0">+COUNTIF(C3:N3,"Present")</f>
        <v>10</v>
      </c>
      <c r="P3">
        <f t="shared" ref="P3:P66" si="1">+COUNTIF(C3:O3,"Absent")</f>
        <v>2</v>
      </c>
      <c r="Q3" t="str">
        <f t="shared" ref="Q3:Q66" si="2">IF(P3&gt;3,"At Risk","Normal")</f>
        <v>Normal</v>
      </c>
    </row>
    <row r="4" spans="1:17" ht="13.2" x14ac:dyDescent="0.25">
      <c r="A4" s="2" t="s">
        <v>649</v>
      </c>
      <c r="B4" s="2" t="s">
        <v>113</v>
      </c>
      <c r="C4" s="4" t="s">
        <v>646</v>
      </c>
      <c r="D4" s="4" t="s">
        <v>646</v>
      </c>
      <c r="E4" s="4" t="s">
        <v>646</v>
      </c>
      <c r="F4" s="4" t="s">
        <v>646</v>
      </c>
      <c r="G4" s="4" t="s">
        <v>646</v>
      </c>
      <c r="H4" s="4" t="s">
        <v>646</v>
      </c>
      <c r="I4" s="4" t="s">
        <v>646</v>
      </c>
      <c r="J4" s="4" t="s">
        <v>646</v>
      </c>
      <c r="K4" s="4" t="s">
        <v>646</v>
      </c>
      <c r="L4" s="4" t="s">
        <v>646</v>
      </c>
      <c r="M4" s="4" t="s">
        <v>647</v>
      </c>
      <c r="N4" s="4" t="s">
        <v>647</v>
      </c>
      <c r="O4">
        <f t="shared" si="0"/>
        <v>10</v>
      </c>
      <c r="P4">
        <f t="shared" si="1"/>
        <v>2</v>
      </c>
      <c r="Q4" t="str">
        <f t="shared" si="2"/>
        <v>Normal</v>
      </c>
    </row>
    <row r="5" spans="1:17" ht="13.2" x14ac:dyDescent="0.25">
      <c r="A5" s="2" t="s">
        <v>650</v>
      </c>
      <c r="B5" s="2" t="s">
        <v>99</v>
      </c>
      <c r="C5" s="4" t="s">
        <v>646</v>
      </c>
      <c r="D5" s="4" t="s">
        <v>646</v>
      </c>
      <c r="E5" s="4" t="s">
        <v>646</v>
      </c>
      <c r="F5" s="4" t="s">
        <v>646</v>
      </c>
      <c r="G5" s="4" t="s">
        <v>646</v>
      </c>
      <c r="H5" s="4" t="s">
        <v>646</v>
      </c>
      <c r="I5" s="4" t="s">
        <v>646</v>
      </c>
      <c r="J5" s="4" t="s">
        <v>646</v>
      </c>
      <c r="K5" s="4" t="s">
        <v>646</v>
      </c>
      <c r="L5" s="4" t="s">
        <v>646</v>
      </c>
      <c r="M5" s="4" t="s">
        <v>647</v>
      </c>
      <c r="N5" s="4" t="s">
        <v>647</v>
      </c>
      <c r="O5">
        <f t="shared" si="0"/>
        <v>10</v>
      </c>
      <c r="P5">
        <f t="shared" si="1"/>
        <v>2</v>
      </c>
      <c r="Q5" t="str">
        <f t="shared" si="2"/>
        <v>Normal</v>
      </c>
    </row>
    <row r="6" spans="1:17" ht="13.2" x14ac:dyDescent="0.25">
      <c r="A6" s="2" t="s">
        <v>651</v>
      </c>
      <c r="B6" s="2" t="s">
        <v>334</v>
      </c>
      <c r="C6" s="4" t="s">
        <v>646</v>
      </c>
      <c r="D6" s="4" t="s">
        <v>646</v>
      </c>
      <c r="E6" s="4" t="s">
        <v>647</v>
      </c>
      <c r="F6" s="4" t="s">
        <v>647</v>
      </c>
      <c r="G6" s="4" t="s">
        <v>647</v>
      </c>
      <c r="H6" s="4" t="s">
        <v>646</v>
      </c>
      <c r="I6" s="4" t="s">
        <v>647</v>
      </c>
      <c r="J6" s="4" t="s">
        <v>646</v>
      </c>
      <c r="K6" s="4" t="s">
        <v>647</v>
      </c>
      <c r="L6" s="4" t="s">
        <v>647</v>
      </c>
      <c r="M6" s="4" t="s">
        <v>647</v>
      </c>
      <c r="N6" s="4" t="s">
        <v>647</v>
      </c>
      <c r="O6">
        <f t="shared" si="0"/>
        <v>4</v>
      </c>
      <c r="P6">
        <f t="shared" si="1"/>
        <v>8</v>
      </c>
      <c r="Q6" t="str">
        <f t="shared" si="2"/>
        <v>At Risk</v>
      </c>
    </row>
    <row r="7" spans="1:17" ht="13.2" x14ac:dyDescent="0.25">
      <c r="A7" s="2" t="s">
        <v>652</v>
      </c>
      <c r="B7" s="2" t="s">
        <v>56</v>
      </c>
      <c r="C7" s="4" t="s">
        <v>646</v>
      </c>
      <c r="D7" s="4" t="s">
        <v>646</v>
      </c>
      <c r="E7" s="4" t="s">
        <v>647</v>
      </c>
      <c r="F7" s="4" t="s">
        <v>647</v>
      </c>
      <c r="G7" s="4" t="s">
        <v>647</v>
      </c>
      <c r="H7" s="4" t="s">
        <v>646</v>
      </c>
      <c r="I7" s="4" t="s">
        <v>647</v>
      </c>
      <c r="J7" s="4" t="s">
        <v>646</v>
      </c>
      <c r="K7" s="4" t="s">
        <v>647</v>
      </c>
      <c r="L7" s="4" t="s">
        <v>647</v>
      </c>
      <c r="M7" s="4" t="s">
        <v>647</v>
      </c>
      <c r="N7" s="4" t="s">
        <v>647</v>
      </c>
      <c r="O7">
        <f t="shared" si="0"/>
        <v>4</v>
      </c>
      <c r="P7">
        <f t="shared" si="1"/>
        <v>8</v>
      </c>
      <c r="Q7" t="str">
        <f t="shared" si="2"/>
        <v>At Risk</v>
      </c>
    </row>
    <row r="8" spans="1:17" ht="13.2" x14ac:dyDescent="0.25">
      <c r="A8" s="2" t="s">
        <v>653</v>
      </c>
      <c r="B8" s="2" t="s">
        <v>612</v>
      </c>
      <c r="C8" s="4" t="s">
        <v>646</v>
      </c>
      <c r="D8" s="4" t="s">
        <v>646</v>
      </c>
      <c r="E8" s="4" t="s">
        <v>646</v>
      </c>
      <c r="F8" s="4" t="s">
        <v>646</v>
      </c>
      <c r="G8" s="4" t="s">
        <v>647</v>
      </c>
      <c r="H8" s="4" t="s">
        <v>646</v>
      </c>
      <c r="I8" s="4" t="s">
        <v>647</v>
      </c>
      <c r="J8" s="4" t="s">
        <v>646</v>
      </c>
      <c r="K8" s="4" t="s">
        <v>646</v>
      </c>
      <c r="L8" s="4" t="s">
        <v>647</v>
      </c>
      <c r="M8" s="4" t="s">
        <v>646</v>
      </c>
      <c r="N8" s="4" t="s">
        <v>647</v>
      </c>
      <c r="O8">
        <f t="shared" si="0"/>
        <v>8</v>
      </c>
      <c r="P8">
        <f t="shared" si="1"/>
        <v>4</v>
      </c>
      <c r="Q8" t="str">
        <f t="shared" si="2"/>
        <v>At Risk</v>
      </c>
    </row>
    <row r="9" spans="1:17" ht="13.2" x14ac:dyDescent="0.25">
      <c r="A9" s="2" t="s">
        <v>654</v>
      </c>
      <c r="B9" s="2" t="s">
        <v>376</v>
      </c>
      <c r="C9" s="4" t="s">
        <v>646</v>
      </c>
      <c r="D9" s="4" t="s">
        <v>646</v>
      </c>
      <c r="E9" s="4" t="s">
        <v>646</v>
      </c>
      <c r="F9" s="4" t="s">
        <v>646</v>
      </c>
      <c r="G9" s="4" t="s">
        <v>647</v>
      </c>
      <c r="H9" s="4" t="s">
        <v>646</v>
      </c>
      <c r="I9" s="4" t="s">
        <v>647</v>
      </c>
      <c r="J9" s="4" t="s">
        <v>646</v>
      </c>
      <c r="K9" s="4" t="s">
        <v>646</v>
      </c>
      <c r="L9" s="4" t="s">
        <v>647</v>
      </c>
      <c r="M9" s="4" t="s">
        <v>646</v>
      </c>
      <c r="N9" s="4" t="s">
        <v>647</v>
      </c>
      <c r="O9">
        <f t="shared" si="0"/>
        <v>8</v>
      </c>
      <c r="P9">
        <f t="shared" si="1"/>
        <v>4</v>
      </c>
      <c r="Q9" t="str">
        <f t="shared" si="2"/>
        <v>At Risk</v>
      </c>
    </row>
    <row r="10" spans="1:17" ht="13.2" x14ac:dyDescent="0.25">
      <c r="A10" s="2" t="s">
        <v>655</v>
      </c>
      <c r="B10" s="2" t="s">
        <v>555</v>
      </c>
      <c r="C10" s="4" t="s">
        <v>646</v>
      </c>
      <c r="D10" s="4" t="s">
        <v>646</v>
      </c>
      <c r="E10" s="4" t="s">
        <v>646</v>
      </c>
      <c r="F10" s="4" t="s">
        <v>646</v>
      </c>
      <c r="G10" s="4" t="s">
        <v>647</v>
      </c>
      <c r="H10" s="4" t="s">
        <v>646</v>
      </c>
      <c r="I10" s="4" t="s">
        <v>647</v>
      </c>
      <c r="J10" s="4" t="s">
        <v>646</v>
      </c>
      <c r="K10" s="4" t="s">
        <v>646</v>
      </c>
      <c r="L10" s="4" t="s">
        <v>647</v>
      </c>
      <c r="M10" s="4" t="s">
        <v>646</v>
      </c>
      <c r="N10" s="4" t="s">
        <v>647</v>
      </c>
      <c r="O10">
        <f t="shared" si="0"/>
        <v>8</v>
      </c>
      <c r="P10">
        <f t="shared" si="1"/>
        <v>4</v>
      </c>
      <c r="Q10" t="str">
        <f t="shared" si="2"/>
        <v>At Risk</v>
      </c>
    </row>
    <row r="11" spans="1:17" ht="13.2" x14ac:dyDescent="0.25">
      <c r="A11" s="2" t="s">
        <v>656</v>
      </c>
      <c r="B11" s="2" t="s">
        <v>530</v>
      </c>
      <c r="C11" s="4" t="s">
        <v>646</v>
      </c>
      <c r="D11" s="4" t="s">
        <v>646</v>
      </c>
      <c r="E11" s="4" t="s">
        <v>646</v>
      </c>
      <c r="F11" s="4" t="s">
        <v>646</v>
      </c>
      <c r="G11" s="4" t="s">
        <v>647</v>
      </c>
      <c r="H11" s="4" t="s">
        <v>646</v>
      </c>
      <c r="I11" s="4" t="s">
        <v>647</v>
      </c>
      <c r="J11" s="4" t="s">
        <v>646</v>
      </c>
      <c r="K11" s="4" t="s">
        <v>646</v>
      </c>
      <c r="L11" s="4" t="s">
        <v>647</v>
      </c>
      <c r="M11" s="4" t="s">
        <v>646</v>
      </c>
      <c r="N11" s="4" t="s">
        <v>647</v>
      </c>
      <c r="O11">
        <f t="shared" si="0"/>
        <v>8</v>
      </c>
      <c r="P11">
        <f t="shared" si="1"/>
        <v>4</v>
      </c>
      <c r="Q11" t="str">
        <f t="shared" si="2"/>
        <v>At Risk</v>
      </c>
    </row>
    <row r="12" spans="1:17" ht="13.2" x14ac:dyDescent="0.25">
      <c r="A12" s="2" t="s">
        <v>657</v>
      </c>
      <c r="B12" s="2" t="s">
        <v>491</v>
      </c>
      <c r="C12" s="4" t="s">
        <v>646</v>
      </c>
      <c r="D12" s="4" t="s">
        <v>646</v>
      </c>
      <c r="E12" s="4" t="s">
        <v>646</v>
      </c>
      <c r="F12" s="4" t="s">
        <v>646</v>
      </c>
      <c r="G12" s="4" t="s">
        <v>647</v>
      </c>
      <c r="H12" s="4" t="s">
        <v>646</v>
      </c>
      <c r="I12" s="4" t="s">
        <v>647</v>
      </c>
      <c r="J12" s="4" t="s">
        <v>646</v>
      </c>
      <c r="K12" s="4" t="s">
        <v>646</v>
      </c>
      <c r="L12" s="4" t="s">
        <v>647</v>
      </c>
      <c r="M12" s="4" t="s">
        <v>646</v>
      </c>
      <c r="N12" s="4" t="s">
        <v>647</v>
      </c>
      <c r="O12">
        <f t="shared" si="0"/>
        <v>8</v>
      </c>
      <c r="P12">
        <f t="shared" si="1"/>
        <v>4</v>
      </c>
      <c r="Q12" t="str">
        <f t="shared" si="2"/>
        <v>At Risk</v>
      </c>
    </row>
    <row r="13" spans="1:17" ht="13.2" x14ac:dyDescent="0.25">
      <c r="A13" s="2" t="s">
        <v>658</v>
      </c>
      <c r="B13" s="2" t="s">
        <v>485</v>
      </c>
      <c r="C13" s="4" t="s">
        <v>646</v>
      </c>
      <c r="D13" s="4" t="s">
        <v>646</v>
      </c>
      <c r="E13" s="4" t="s">
        <v>646</v>
      </c>
      <c r="F13" s="4" t="s">
        <v>646</v>
      </c>
      <c r="G13" s="4" t="s">
        <v>647</v>
      </c>
      <c r="H13" s="4" t="s">
        <v>646</v>
      </c>
      <c r="I13" s="4" t="s">
        <v>647</v>
      </c>
      <c r="J13" s="4" t="s">
        <v>646</v>
      </c>
      <c r="K13" s="4" t="s">
        <v>646</v>
      </c>
      <c r="L13" s="4" t="s">
        <v>647</v>
      </c>
      <c r="M13" s="4" t="s">
        <v>646</v>
      </c>
      <c r="N13" s="4" t="s">
        <v>647</v>
      </c>
      <c r="O13">
        <f t="shared" si="0"/>
        <v>8</v>
      </c>
      <c r="P13">
        <f t="shared" si="1"/>
        <v>4</v>
      </c>
      <c r="Q13" t="str">
        <f t="shared" si="2"/>
        <v>At Risk</v>
      </c>
    </row>
    <row r="14" spans="1:17" ht="13.2" x14ac:dyDescent="0.25">
      <c r="A14" s="2" t="s">
        <v>659</v>
      </c>
      <c r="B14" s="2" t="s">
        <v>308</v>
      </c>
      <c r="C14" s="4" t="s">
        <v>647</v>
      </c>
      <c r="D14" s="4" t="s">
        <v>647</v>
      </c>
      <c r="E14" s="4" t="s">
        <v>646</v>
      </c>
      <c r="F14" s="4" t="s">
        <v>646</v>
      </c>
      <c r="G14" s="4" t="s">
        <v>646</v>
      </c>
      <c r="H14" s="4" t="s">
        <v>647</v>
      </c>
      <c r="I14" s="4" t="s">
        <v>646</v>
      </c>
      <c r="J14" s="4" t="s">
        <v>647</v>
      </c>
      <c r="K14" s="4" t="s">
        <v>646</v>
      </c>
      <c r="L14" s="4" t="s">
        <v>646</v>
      </c>
      <c r="M14" s="4" t="s">
        <v>646</v>
      </c>
      <c r="N14" s="4" t="s">
        <v>646</v>
      </c>
      <c r="O14">
        <f t="shared" si="0"/>
        <v>8</v>
      </c>
      <c r="P14">
        <f t="shared" si="1"/>
        <v>4</v>
      </c>
      <c r="Q14" t="str">
        <f t="shared" si="2"/>
        <v>At Risk</v>
      </c>
    </row>
    <row r="15" spans="1:17" ht="13.2" x14ac:dyDescent="0.25">
      <c r="A15" s="2" t="s">
        <v>660</v>
      </c>
      <c r="B15" s="2" t="s">
        <v>622</v>
      </c>
      <c r="C15" s="4" t="s">
        <v>647</v>
      </c>
      <c r="D15" s="4" t="s">
        <v>646</v>
      </c>
      <c r="E15" s="4" t="s">
        <v>646</v>
      </c>
      <c r="F15" s="4" t="s">
        <v>646</v>
      </c>
      <c r="G15" s="4" t="s">
        <v>646</v>
      </c>
      <c r="H15" s="4" t="s">
        <v>646</v>
      </c>
      <c r="I15" s="4" t="s">
        <v>646</v>
      </c>
      <c r="J15" s="4" t="s">
        <v>647</v>
      </c>
      <c r="K15" s="4" t="s">
        <v>646</v>
      </c>
      <c r="L15" s="4" t="s">
        <v>646</v>
      </c>
      <c r="M15" s="4" t="s">
        <v>646</v>
      </c>
      <c r="N15" s="4" t="s">
        <v>646</v>
      </c>
      <c r="O15">
        <f t="shared" si="0"/>
        <v>10</v>
      </c>
      <c r="P15">
        <f t="shared" si="1"/>
        <v>2</v>
      </c>
      <c r="Q15" t="str">
        <f t="shared" si="2"/>
        <v>Normal</v>
      </c>
    </row>
    <row r="16" spans="1:17" ht="13.2" x14ac:dyDescent="0.25">
      <c r="A16" s="2" t="s">
        <v>661</v>
      </c>
      <c r="B16" s="2" t="s">
        <v>625</v>
      </c>
      <c r="C16" s="4" t="s">
        <v>647</v>
      </c>
      <c r="D16" s="4" t="s">
        <v>646</v>
      </c>
      <c r="E16" s="4" t="s">
        <v>646</v>
      </c>
      <c r="F16" s="4" t="s">
        <v>646</v>
      </c>
      <c r="G16" s="4" t="s">
        <v>646</v>
      </c>
      <c r="H16" s="4" t="s">
        <v>646</v>
      </c>
      <c r="I16" s="4" t="s">
        <v>646</v>
      </c>
      <c r="J16" s="4" t="s">
        <v>647</v>
      </c>
      <c r="K16" s="4" t="s">
        <v>646</v>
      </c>
      <c r="L16" s="4" t="s">
        <v>646</v>
      </c>
      <c r="M16" s="4" t="s">
        <v>646</v>
      </c>
      <c r="N16" s="4" t="s">
        <v>646</v>
      </c>
      <c r="O16">
        <f t="shared" si="0"/>
        <v>10</v>
      </c>
      <c r="P16">
        <f t="shared" si="1"/>
        <v>2</v>
      </c>
      <c r="Q16" t="str">
        <f t="shared" si="2"/>
        <v>Normal</v>
      </c>
    </row>
    <row r="17" spans="1:17" ht="13.2" x14ac:dyDescent="0.25">
      <c r="A17" s="2" t="s">
        <v>662</v>
      </c>
      <c r="B17" s="2" t="s">
        <v>614</v>
      </c>
      <c r="C17" s="4" t="s">
        <v>647</v>
      </c>
      <c r="D17" s="4" t="s">
        <v>646</v>
      </c>
      <c r="E17" s="4" t="s">
        <v>646</v>
      </c>
      <c r="F17" s="4" t="s">
        <v>646</v>
      </c>
      <c r="G17" s="4" t="s">
        <v>646</v>
      </c>
      <c r="H17" s="4" t="s">
        <v>646</v>
      </c>
      <c r="I17" s="4" t="s">
        <v>646</v>
      </c>
      <c r="J17" s="4" t="s">
        <v>647</v>
      </c>
      <c r="K17" s="4" t="s">
        <v>646</v>
      </c>
      <c r="L17" s="4" t="s">
        <v>646</v>
      </c>
      <c r="M17" s="4" t="s">
        <v>646</v>
      </c>
      <c r="N17" s="4" t="s">
        <v>646</v>
      </c>
      <c r="O17">
        <f t="shared" si="0"/>
        <v>10</v>
      </c>
      <c r="P17">
        <f t="shared" si="1"/>
        <v>2</v>
      </c>
      <c r="Q17" t="str">
        <f t="shared" si="2"/>
        <v>Normal</v>
      </c>
    </row>
    <row r="18" spans="1:17" ht="13.2" x14ac:dyDescent="0.25">
      <c r="A18" s="2" t="s">
        <v>663</v>
      </c>
      <c r="B18" s="2" t="s">
        <v>597</v>
      </c>
      <c r="C18" s="4" t="s">
        <v>647</v>
      </c>
      <c r="D18" s="4" t="s">
        <v>646</v>
      </c>
      <c r="E18" s="4" t="s">
        <v>646</v>
      </c>
      <c r="F18" s="4" t="s">
        <v>646</v>
      </c>
      <c r="G18" s="4" t="s">
        <v>646</v>
      </c>
      <c r="H18" s="4" t="s">
        <v>646</v>
      </c>
      <c r="I18" s="4" t="s">
        <v>646</v>
      </c>
      <c r="J18" s="4" t="s">
        <v>647</v>
      </c>
      <c r="K18" s="4" t="s">
        <v>646</v>
      </c>
      <c r="L18" s="4" t="s">
        <v>646</v>
      </c>
      <c r="M18" s="4" t="s">
        <v>646</v>
      </c>
      <c r="N18" s="4" t="s">
        <v>646</v>
      </c>
      <c r="O18">
        <f t="shared" si="0"/>
        <v>10</v>
      </c>
      <c r="P18">
        <f t="shared" si="1"/>
        <v>2</v>
      </c>
      <c r="Q18" t="str">
        <f t="shared" si="2"/>
        <v>Normal</v>
      </c>
    </row>
    <row r="19" spans="1:17" ht="13.2" x14ac:dyDescent="0.25">
      <c r="A19" s="2" t="s">
        <v>664</v>
      </c>
      <c r="B19" s="2" t="s">
        <v>575</v>
      </c>
      <c r="C19" s="4" t="s">
        <v>647</v>
      </c>
      <c r="D19" s="4" t="s">
        <v>646</v>
      </c>
      <c r="E19" s="4" t="s">
        <v>646</v>
      </c>
      <c r="F19" s="4" t="s">
        <v>646</v>
      </c>
      <c r="G19" s="4" t="s">
        <v>646</v>
      </c>
      <c r="H19" s="4" t="s">
        <v>646</v>
      </c>
      <c r="I19" s="4" t="s">
        <v>646</v>
      </c>
      <c r="J19" s="4" t="s">
        <v>647</v>
      </c>
      <c r="K19" s="4" t="s">
        <v>646</v>
      </c>
      <c r="L19" s="4" t="s">
        <v>646</v>
      </c>
      <c r="M19" s="4" t="s">
        <v>646</v>
      </c>
      <c r="N19" s="4" t="s">
        <v>646</v>
      </c>
      <c r="O19">
        <f t="shared" si="0"/>
        <v>10</v>
      </c>
      <c r="P19">
        <f t="shared" si="1"/>
        <v>2</v>
      </c>
      <c r="Q19" t="str">
        <f t="shared" si="2"/>
        <v>Normal</v>
      </c>
    </row>
    <row r="20" spans="1:17" ht="13.2" x14ac:dyDescent="0.25">
      <c r="A20" s="2" t="s">
        <v>665</v>
      </c>
      <c r="B20" s="2" t="s">
        <v>8</v>
      </c>
      <c r="C20" s="4" t="s">
        <v>647</v>
      </c>
      <c r="D20" s="4" t="s">
        <v>646</v>
      </c>
      <c r="E20" s="4" t="s">
        <v>646</v>
      </c>
      <c r="F20" s="4" t="s">
        <v>646</v>
      </c>
      <c r="G20" s="4" t="s">
        <v>646</v>
      </c>
      <c r="H20" s="4" t="s">
        <v>646</v>
      </c>
      <c r="I20" s="4" t="s">
        <v>646</v>
      </c>
      <c r="J20" s="4" t="s">
        <v>647</v>
      </c>
      <c r="K20" s="4" t="s">
        <v>646</v>
      </c>
      <c r="L20" s="4" t="s">
        <v>646</v>
      </c>
      <c r="M20" s="4" t="s">
        <v>646</v>
      </c>
      <c r="N20" s="4" t="s">
        <v>646</v>
      </c>
      <c r="O20">
        <f t="shared" si="0"/>
        <v>10</v>
      </c>
      <c r="P20">
        <f t="shared" si="1"/>
        <v>2</v>
      </c>
      <c r="Q20" t="str">
        <f t="shared" si="2"/>
        <v>Normal</v>
      </c>
    </row>
    <row r="21" spans="1:17" ht="13.2" x14ac:dyDescent="0.25">
      <c r="A21" s="2" t="s">
        <v>666</v>
      </c>
      <c r="B21" s="2" t="s">
        <v>430</v>
      </c>
      <c r="C21" s="4" t="s">
        <v>647</v>
      </c>
      <c r="D21" s="4" t="s">
        <v>646</v>
      </c>
      <c r="E21" s="4" t="s">
        <v>646</v>
      </c>
      <c r="F21" s="4" t="s">
        <v>646</v>
      </c>
      <c r="G21" s="4" t="s">
        <v>646</v>
      </c>
      <c r="H21" s="4" t="s">
        <v>646</v>
      </c>
      <c r="I21" s="4" t="s">
        <v>646</v>
      </c>
      <c r="J21" s="4" t="s">
        <v>647</v>
      </c>
      <c r="K21" s="4" t="s">
        <v>646</v>
      </c>
      <c r="L21" s="4" t="s">
        <v>646</v>
      </c>
      <c r="M21" s="4" t="s">
        <v>646</v>
      </c>
      <c r="N21" s="4" t="s">
        <v>646</v>
      </c>
      <c r="O21">
        <f t="shared" si="0"/>
        <v>10</v>
      </c>
      <c r="P21">
        <f t="shared" si="1"/>
        <v>2</v>
      </c>
      <c r="Q21" t="str">
        <f t="shared" si="2"/>
        <v>Normal</v>
      </c>
    </row>
    <row r="22" spans="1:17" ht="13.2" x14ac:dyDescent="0.25">
      <c r="A22" s="2" t="s">
        <v>667</v>
      </c>
      <c r="B22" s="2" t="s">
        <v>411</v>
      </c>
      <c r="C22" s="4" t="s">
        <v>647</v>
      </c>
      <c r="D22" s="4" t="s">
        <v>646</v>
      </c>
      <c r="E22" s="4" t="s">
        <v>646</v>
      </c>
      <c r="F22" s="4" t="s">
        <v>646</v>
      </c>
      <c r="G22" s="4" t="s">
        <v>646</v>
      </c>
      <c r="H22" s="4" t="s">
        <v>646</v>
      </c>
      <c r="I22" s="4" t="s">
        <v>646</v>
      </c>
      <c r="J22" s="4" t="s">
        <v>647</v>
      </c>
      <c r="K22" s="4" t="s">
        <v>646</v>
      </c>
      <c r="L22" s="4" t="s">
        <v>646</v>
      </c>
      <c r="M22" s="4" t="s">
        <v>646</v>
      </c>
      <c r="N22" s="4" t="s">
        <v>646</v>
      </c>
      <c r="O22">
        <f t="shared" si="0"/>
        <v>10</v>
      </c>
      <c r="P22">
        <f t="shared" si="1"/>
        <v>2</v>
      </c>
      <c r="Q22" t="str">
        <f t="shared" si="2"/>
        <v>Normal</v>
      </c>
    </row>
    <row r="23" spans="1:17" ht="13.2" x14ac:dyDescent="0.25">
      <c r="A23" s="2" t="s">
        <v>668</v>
      </c>
      <c r="B23" s="2" t="s">
        <v>408</v>
      </c>
      <c r="C23" s="4" t="s">
        <v>647</v>
      </c>
      <c r="D23" s="4" t="s">
        <v>646</v>
      </c>
      <c r="E23" s="4" t="s">
        <v>646</v>
      </c>
      <c r="F23" s="4" t="s">
        <v>646</v>
      </c>
      <c r="G23" s="4" t="s">
        <v>646</v>
      </c>
      <c r="H23" s="4" t="s">
        <v>646</v>
      </c>
      <c r="I23" s="4" t="s">
        <v>646</v>
      </c>
      <c r="J23" s="4" t="s">
        <v>647</v>
      </c>
      <c r="K23" s="4" t="s">
        <v>646</v>
      </c>
      <c r="L23" s="4" t="s">
        <v>646</v>
      </c>
      <c r="M23" s="4" t="s">
        <v>646</v>
      </c>
      <c r="N23" s="4" t="s">
        <v>646</v>
      </c>
      <c r="O23">
        <f t="shared" si="0"/>
        <v>10</v>
      </c>
      <c r="P23">
        <f t="shared" si="1"/>
        <v>2</v>
      </c>
      <c r="Q23" t="str">
        <f t="shared" si="2"/>
        <v>Normal</v>
      </c>
    </row>
    <row r="24" spans="1:17" ht="13.2" x14ac:dyDescent="0.25">
      <c r="A24" s="2" t="s">
        <v>669</v>
      </c>
      <c r="B24" s="2" t="s">
        <v>628</v>
      </c>
      <c r="C24" s="4" t="s">
        <v>647</v>
      </c>
      <c r="D24" s="4" t="s">
        <v>646</v>
      </c>
      <c r="E24" s="4" t="s">
        <v>646</v>
      </c>
      <c r="F24" s="4" t="s">
        <v>646</v>
      </c>
      <c r="G24" s="4" t="s">
        <v>646</v>
      </c>
      <c r="H24" s="4" t="s">
        <v>646</v>
      </c>
      <c r="I24" s="4" t="s">
        <v>646</v>
      </c>
      <c r="J24" s="4" t="s">
        <v>647</v>
      </c>
      <c r="K24" s="4" t="s">
        <v>646</v>
      </c>
      <c r="L24" s="4" t="s">
        <v>646</v>
      </c>
      <c r="M24" s="4" t="s">
        <v>646</v>
      </c>
      <c r="N24" s="4" t="s">
        <v>646</v>
      </c>
      <c r="O24">
        <f t="shared" si="0"/>
        <v>10</v>
      </c>
      <c r="P24">
        <f t="shared" si="1"/>
        <v>2</v>
      </c>
      <c r="Q24" t="str">
        <f t="shared" si="2"/>
        <v>Normal</v>
      </c>
    </row>
    <row r="25" spans="1:17" ht="13.2" x14ac:dyDescent="0.25">
      <c r="A25" s="2" t="s">
        <v>670</v>
      </c>
      <c r="B25" s="2" t="s">
        <v>276</v>
      </c>
      <c r="C25" s="4" t="s">
        <v>647</v>
      </c>
      <c r="D25" s="4" t="s">
        <v>646</v>
      </c>
      <c r="E25" s="4" t="s">
        <v>646</v>
      </c>
      <c r="F25" s="4" t="s">
        <v>646</v>
      </c>
      <c r="G25" s="4" t="s">
        <v>646</v>
      </c>
      <c r="H25" s="4" t="s">
        <v>646</v>
      </c>
      <c r="I25" s="4" t="s">
        <v>646</v>
      </c>
      <c r="J25" s="4" t="s">
        <v>647</v>
      </c>
      <c r="K25" s="4" t="s">
        <v>646</v>
      </c>
      <c r="L25" s="4" t="s">
        <v>646</v>
      </c>
      <c r="M25" s="4" t="s">
        <v>646</v>
      </c>
      <c r="N25" s="4" t="s">
        <v>646</v>
      </c>
      <c r="O25">
        <f t="shared" si="0"/>
        <v>10</v>
      </c>
      <c r="P25">
        <f t="shared" si="1"/>
        <v>2</v>
      </c>
      <c r="Q25" t="str">
        <f t="shared" si="2"/>
        <v>Normal</v>
      </c>
    </row>
    <row r="26" spans="1:17" ht="13.2" x14ac:dyDescent="0.25">
      <c r="A26" s="2" t="s">
        <v>671</v>
      </c>
      <c r="B26" s="2" t="s">
        <v>631</v>
      </c>
      <c r="C26" s="4" t="s">
        <v>647</v>
      </c>
      <c r="D26" s="4" t="s">
        <v>646</v>
      </c>
      <c r="E26" s="4" t="s">
        <v>646</v>
      </c>
      <c r="F26" s="4" t="s">
        <v>646</v>
      </c>
      <c r="G26" s="4" t="s">
        <v>646</v>
      </c>
      <c r="H26" s="4" t="s">
        <v>646</v>
      </c>
      <c r="I26" s="4" t="s">
        <v>646</v>
      </c>
      <c r="J26" s="4" t="s">
        <v>647</v>
      </c>
      <c r="K26" s="4" t="s">
        <v>646</v>
      </c>
      <c r="L26" s="4" t="s">
        <v>646</v>
      </c>
      <c r="M26" s="4" t="s">
        <v>646</v>
      </c>
      <c r="N26" s="4" t="s">
        <v>646</v>
      </c>
      <c r="O26">
        <f t="shared" si="0"/>
        <v>10</v>
      </c>
      <c r="P26">
        <f t="shared" si="1"/>
        <v>2</v>
      </c>
      <c r="Q26" t="str">
        <f t="shared" si="2"/>
        <v>Normal</v>
      </c>
    </row>
    <row r="27" spans="1:17" ht="13.2" x14ac:dyDescent="0.25">
      <c r="A27" s="2" t="s">
        <v>672</v>
      </c>
      <c r="B27" s="2" t="s">
        <v>606</v>
      </c>
      <c r="C27" s="4" t="s">
        <v>647</v>
      </c>
      <c r="D27" s="4" t="s">
        <v>646</v>
      </c>
      <c r="E27" s="4" t="s">
        <v>646</v>
      </c>
      <c r="F27" s="4" t="s">
        <v>646</v>
      </c>
      <c r="G27" s="4" t="s">
        <v>646</v>
      </c>
      <c r="H27" s="4" t="s">
        <v>646</v>
      </c>
      <c r="I27" s="4" t="s">
        <v>646</v>
      </c>
      <c r="J27" s="4" t="s">
        <v>647</v>
      </c>
      <c r="K27" s="4" t="s">
        <v>646</v>
      </c>
      <c r="L27" s="4" t="s">
        <v>646</v>
      </c>
      <c r="M27" s="4" t="s">
        <v>646</v>
      </c>
      <c r="N27" s="4" t="s">
        <v>646</v>
      </c>
      <c r="O27">
        <f t="shared" si="0"/>
        <v>10</v>
      </c>
      <c r="P27">
        <f t="shared" si="1"/>
        <v>2</v>
      </c>
      <c r="Q27" t="str">
        <f t="shared" si="2"/>
        <v>Normal</v>
      </c>
    </row>
    <row r="28" spans="1:17" ht="13.2" x14ac:dyDescent="0.25">
      <c r="A28" s="2" t="s">
        <v>673</v>
      </c>
      <c r="B28" s="2" t="s">
        <v>567</v>
      </c>
      <c r="C28" s="4" t="s">
        <v>647</v>
      </c>
      <c r="D28" s="4" t="s">
        <v>646</v>
      </c>
      <c r="E28" s="4" t="s">
        <v>646</v>
      </c>
      <c r="F28" s="4" t="s">
        <v>646</v>
      </c>
      <c r="G28" s="4" t="s">
        <v>646</v>
      </c>
      <c r="H28" s="4" t="s">
        <v>646</v>
      </c>
      <c r="I28" s="4" t="s">
        <v>646</v>
      </c>
      <c r="J28" s="4" t="s">
        <v>647</v>
      </c>
      <c r="K28" s="4" t="s">
        <v>646</v>
      </c>
      <c r="L28" s="4" t="s">
        <v>646</v>
      </c>
      <c r="M28" s="4" t="s">
        <v>646</v>
      </c>
      <c r="N28" s="4" t="s">
        <v>646</v>
      </c>
      <c r="O28">
        <f t="shared" si="0"/>
        <v>10</v>
      </c>
      <c r="P28">
        <f t="shared" si="1"/>
        <v>2</v>
      </c>
      <c r="Q28" t="str">
        <f t="shared" si="2"/>
        <v>Normal</v>
      </c>
    </row>
    <row r="29" spans="1:17" ht="13.2" x14ac:dyDescent="0.25">
      <c r="A29" s="2" t="s">
        <v>674</v>
      </c>
      <c r="B29" s="2" t="s">
        <v>137</v>
      </c>
      <c r="C29" s="4" t="s">
        <v>647</v>
      </c>
      <c r="D29" s="4" t="s">
        <v>646</v>
      </c>
      <c r="E29" s="4" t="s">
        <v>646</v>
      </c>
      <c r="F29" s="4" t="s">
        <v>646</v>
      </c>
      <c r="G29" s="4" t="s">
        <v>646</v>
      </c>
      <c r="H29" s="4" t="s">
        <v>646</v>
      </c>
      <c r="I29" s="4" t="s">
        <v>646</v>
      </c>
      <c r="J29" s="4" t="s">
        <v>647</v>
      </c>
      <c r="K29" s="4" t="s">
        <v>646</v>
      </c>
      <c r="L29" s="4" t="s">
        <v>646</v>
      </c>
      <c r="M29" s="4" t="s">
        <v>646</v>
      </c>
      <c r="N29" s="4" t="s">
        <v>646</v>
      </c>
      <c r="O29">
        <f t="shared" si="0"/>
        <v>10</v>
      </c>
      <c r="P29">
        <f t="shared" si="1"/>
        <v>2</v>
      </c>
      <c r="Q29" t="str">
        <f t="shared" si="2"/>
        <v>Normal</v>
      </c>
    </row>
    <row r="30" spans="1:17" ht="13.2" x14ac:dyDescent="0.25">
      <c r="A30" s="2" t="s">
        <v>675</v>
      </c>
      <c r="B30" s="2" t="s">
        <v>119</v>
      </c>
      <c r="C30" s="4" t="s">
        <v>647</v>
      </c>
      <c r="D30" s="4" t="s">
        <v>646</v>
      </c>
      <c r="E30" s="4" t="s">
        <v>646</v>
      </c>
      <c r="F30" s="4" t="s">
        <v>646</v>
      </c>
      <c r="G30" s="4" t="s">
        <v>646</v>
      </c>
      <c r="H30" s="4" t="s">
        <v>646</v>
      </c>
      <c r="I30" s="4" t="s">
        <v>646</v>
      </c>
      <c r="J30" s="4" t="s">
        <v>647</v>
      </c>
      <c r="K30" s="4" t="s">
        <v>646</v>
      </c>
      <c r="L30" s="4" t="s">
        <v>646</v>
      </c>
      <c r="M30" s="4" t="s">
        <v>646</v>
      </c>
      <c r="N30" s="4" t="s">
        <v>646</v>
      </c>
      <c r="O30">
        <f t="shared" si="0"/>
        <v>10</v>
      </c>
      <c r="P30">
        <f t="shared" si="1"/>
        <v>2</v>
      </c>
      <c r="Q30" t="str">
        <f t="shared" si="2"/>
        <v>Normal</v>
      </c>
    </row>
    <row r="31" spans="1:17" ht="13.2" x14ac:dyDescent="0.25">
      <c r="A31" s="2" t="s">
        <v>676</v>
      </c>
      <c r="B31" s="2" t="s">
        <v>365</v>
      </c>
      <c r="C31" s="4" t="s">
        <v>646</v>
      </c>
      <c r="D31" s="4" t="s">
        <v>647</v>
      </c>
      <c r="E31" s="4" t="s">
        <v>646</v>
      </c>
      <c r="F31" s="4" t="s">
        <v>646</v>
      </c>
      <c r="G31" s="4" t="s">
        <v>646</v>
      </c>
      <c r="H31" s="4" t="s">
        <v>647</v>
      </c>
      <c r="I31" s="4" t="s">
        <v>646</v>
      </c>
      <c r="J31" s="4" t="s">
        <v>646</v>
      </c>
      <c r="K31" s="4" t="s">
        <v>646</v>
      </c>
      <c r="L31" s="4" t="s">
        <v>646</v>
      </c>
      <c r="M31" s="4" t="s">
        <v>646</v>
      </c>
      <c r="N31" s="4" t="s">
        <v>646</v>
      </c>
      <c r="O31">
        <f t="shared" si="0"/>
        <v>10</v>
      </c>
      <c r="P31">
        <f t="shared" si="1"/>
        <v>2</v>
      </c>
      <c r="Q31" t="str">
        <f t="shared" si="2"/>
        <v>Normal</v>
      </c>
    </row>
    <row r="32" spans="1:17" ht="13.2" x14ac:dyDescent="0.25">
      <c r="A32" s="2" t="s">
        <v>677</v>
      </c>
      <c r="B32" s="2" t="s">
        <v>580</v>
      </c>
      <c r="C32" s="4" t="s">
        <v>646</v>
      </c>
      <c r="D32" s="4" t="s">
        <v>647</v>
      </c>
      <c r="E32" s="4" t="s">
        <v>646</v>
      </c>
      <c r="F32" s="4" t="s">
        <v>646</v>
      </c>
      <c r="G32" s="4" t="s">
        <v>646</v>
      </c>
      <c r="H32" s="4" t="s">
        <v>647</v>
      </c>
      <c r="I32" s="4" t="s">
        <v>646</v>
      </c>
      <c r="J32" s="4" t="s">
        <v>646</v>
      </c>
      <c r="K32" s="4" t="s">
        <v>646</v>
      </c>
      <c r="L32" s="4" t="s">
        <v>646</v>
      </c>
      <c r="M32" s="4" t="s">
        <v>646</v>
      </c>
      <c r="N32" s="4" t="s">
        <v>646</v>
      </c>
      <c r="O32">
        <f t="shared" si="0"/>
        <v>10</v>
      </c>
      <c r="P32">
        <f t="shared" si="1"/>
        <v>2</v>
      </c>
      <c r="Q32" t="str">
        <f t="shared" si="2"/>
        <v>Normal</v>
      </c>
    </row>
    <row r="33" spans="1:17" ht="13.2" x14ac:dyDescent="0.25">
      <c r="A33" s="2" t="s">
        <v>678</v>
      </c>
      <c r="B33" s="2" t="s">
        <v>539</v>
      </c>
      <c r="C33" s="4" t="s">
        <v>646</v>
      </c>
      <c r="D33" s="4" t="s">
        <v>647</v>
      </c>
      <c r="E33" s="4" t="s">
        <v>646</v>
      </c>
      <c r="F33" s="4" t="s">
        <v>646</v>
      </c>
      <c r="G33" s="4" t="s">
        <v>646</v>
      </c>
      <c r="H33" s="4" t="s">
        <v>647</v>
      </c>
      <c r="I33" s="4" t="s">
        <v>646</v>
      </c>
      <c r="J33" s="4" t="s">
        <v>646</v>
      </c>
      <c r="K33" s="4" t="s">
        <v>646</v>
      </c>
      <c r="L33" s="4" t="s">
        <v>646</v>
      </c>
      <c r="M33" s="4" t="s">
        <v>646</v>
      </c>
      <c r="N33" s="4" t="s">
        <v>646</v>
      </c>
      <c r="O33">
        <f t="shared" si="0"/>
        <v>10</v>
      </c>
      <c r="P33">
        <f t="shared" si="1"/>
        <v>2</v>
      </c>
      <c r="Q33" t="str">
        <f t="shared" si="2"/>
        <v>Normal</v>
      </c>
    </row>
    <row r="34" spans="1:17" ht="13.2" x14ac:dyDescent="0.25">
      <c r="A34" s="2" t="s">
        <v>679</v>
      </c>
      <c r="B34" s="2" t="s">
        <v>609</v>
      </c>
      <c r="C34" s="4" t="s">
        <v>646</v>
      </c>
      <c r="D34" s="4" t="s">
        <v>647</v>
      </c>
      <c r="E34" s="4" t="s">
        <v>646</v>
      </c>
      <c r="F34" s="4" t="s">
        <v>646</v>
      </c>
      <c r="G34" s="4" t="s">
        <v>646</v>
      </c>
      <c r="H34" s="4" t="s">
        <v>647</v>
      </c>
      <c r="I34" s="4" t="s">
        <v>646</v>
      </c>
      <c r="J34" s="4" t="s">
        <v>646</v>
      </c>
      <c r="K34" s="4" t="s">
        <v>646</v>
      </c>
      <c r="L34" s="4" t="s">
        <v>646</v>
      </c>
      <c r="M34" s="4" t="s">
        <v>646</v>
      </c>
      <c r="N34" s="4" t="s">
        <v>646</v>
      </c>
      <c r="O34">
        <f t="shared" si="0"/>
        <v>10</v>
      </c>
      <c r="P34">
        <f t="shared" si="1"/>
        <v>2</v>
      </c>
      <c r="Q34" t="str">
        <f t="shared" si="2"/>
        <v>Normal</v>
      </c>
    </row>
    <row r="35" spans="1:17" ht="13.2" x14ac:dyDescent="0.25">
      <c r="A35" s="2" t="s">
        <v>680</v>
      </c>
      <c r="B35" s="2" t="s">
        <v>459</v>
      </c>
      <c r="C35" s="4" t="s">
        <v>646</v>
      </c>
      <c r="D35" s="4" t="s">
        <v>647</v>
      </c>
      <c r="E35" s="4" t="s">
        <v>646</v>
      </c>
      <c r="F35" s="4" t="s">
        <v>646</v>
      </c>
      <c r="G35" s="4" t="s">
        <v>646</v>
      </c>
      <c r="H35" s="4" t="s">
        <v>647</v>
      </c>
      <c r="I35" s="4" t="s">
        <v>646</v>
      </c>
      <c r="J35" s="4" t="s">
        <v>646</v>
      </c>
      <c r="K35" s="4" t="s">
        <v>646</v>
      </c>
      <c r="L35" s="4" t="s">
        <v>646</v>
      </c>
      <c r="M35" s="4" t="s">
        <v>646</v>
      </c>
      <c r="N35" s="4" t="s">
        <v>646</v>
      </c>
      <c r="O35">
        <f t="shared" si="0"/>
        <v>10</v>
      </c>
      <c r="P35">
        <f t="shared" si="1"/>
        <v>2</v>
      </c>
      <c r="Q35" t="str">
        <f t="shared" si="2"/>
        <v>Normal</v>
      </c>
    </row>
    <row r="36" spans="1:17" ht="13.2" x14ac:dyDescent="0.25">
      <c r="A36" s="2" t="s">
        <v>681</v>
      </c>
      <c r="B36" s="2" t="s">
        <v>235</v>
      </c>
      <c r="C36" s="4" t="s">
        <v>646</v>
      </c>
      <c r="D36" s="4" t="s">
        <v>647</v>
      </c>
      <c r="E36" s="4" t="s">
        <v>646</v>
      </c>
      <c r="F36" s="4" t="s">
        <v>646</v>
      </c>
      <c r="G36" s="4" t="s">
        <v>646</v>
      </c>
      <c r="H36" s="4" t="s">
        <v>647</v>
      </c>
      <c r="I36" s="4" t="s">
        <v>646</v>
      </c>
      <c r="J36" s="4" t="s">
        <v>646</v>
      </c>
      <c r="K36" s="4" t="s">
        <v>646</v>
      </c>
      <c r="L36" s="4" t="s">
        <v>646</v>
      </c>
      <c r="M36" s="4" t="s">
        <v>646</v>
      </c>
      <c r="N36" s="4" t="s">
        <v>646</v>
      </c>
      <c r="O36">
        <f t="shared" si="0"/>
        <v>10</v>
      </c>
      <c r="P36">
        <f t="shared" si="1"/>
        <v>2</v>
      </c>
      <c r="Q36" t="str">
        <f t="shared" si="2"/>
        <v>Normal</v>
      </c>
    </row>
    <row r="37" spans="1:17" ht="13.2" x14ac:dyDescent="0.25">
      <c r="A37" s="2" t="s">
        <v>682</v>
      </c>
      <c r="B37" s="2" t="s">
        <v>161</v>
      </c>
      <c r="C37" s="4" t="s">
        <v>646</v>
      </c>
      <c r="D37" s="4" t="s">
        <v>647</v>
      </c>
      <c r="E37" s="4" t="s">
        <v>646</v>
      </c>
      <c r="F37" s="4" t="s">
        <v>646</v>
      </c>
      <c r="G37" s="4" t="s">
        <v>646</v>
      </c>
      <c r="H37" s="4" t="s">
        <v>647</v>
      </c>
      <c r="I37" s="4" t="s">
        <v>646</v>
      </c>
      <c r="J37" s="4" t="s">
        <v>646</v>
      </c>
      <c r="K37" s="4" t="s">
        <v>646</v>
      </c>
      <c r="L37" s="4" t="s">
        <v>646</v>
      </c>
      <c r="M37" s="4" t="s">
        <v>646</v>
      </c>
      <c r="N37" s="4" t="s">
        <v>646</v>
      </c>
      <c r="O37">
        <f t="shared" si="0"/>
        <v>10</v>
      </c>
      <c r="P37">
        <f t="shared" si="1"/>
        <v>2</v>
      </c>
      <c r="Q37" t="str">
        <f t="shared" si="2"/>
        <v>Normal</v>
      </c>
    </row>
    <row r="38" spans="1:17" ht="13.2" x14ac:dyDescent="0.25">
      <c r="A38" s="2" t="s">
        <v>683</v>
      </c>
      <c r="B38" s="2" t="s">
        <v>116</v>
      </c>
      <c r="C38" s="4" t="s">
        <v>646</v>
      </c>
      <c r="D38" s="4" t="s">
        <v>647</v>
      </c>
      <c r="E38" s="4" t="s">
        <v>646</v>
      </c>
      <c r="F38" s="4" t="s">
        <v>646</v>
      </c>
      <c r="G38" s="4" t="s">
        <v>646</v>
      </c>
      <c r="H38" s="4" t="s">
        <v>647</v>
      </c>
      <c r="I38" s="4" t="s">
        <v>646</v>
      </c>
      <c r="J38" s="4" t="s">
        <v>646</v>
      </c>
      <c r="K38" s="4" t="s">
        <v>646</v>
      </c>
      <c r="L38" s="4" t="s">
        <v>646</v>
      </c>
      <c r="M38" s="4" t="s">
        <v>646</v>
      </c>
      <c r="N38" s="4" t="s">
        <v>646</v>
      </c>
      <c r="O38">
        <f t="shared" si="0"/>
        <v>10</v>
      </c>
      <c r="P38">
        <f t="shared" si="1"/>
        <v>2</v>
      </c>
      <c r="Q38" t="str">
        <f t="shared" si="2"/>
        <v>Normal</v>
      </c>
    </row>
    <row r="39" spans="1:17" ht="13.2" x14ac:dyDescent="0.25">
      <c r="A39" s="2" t="s">
        <v>684</v>
      </c>
      <c r="B39" s="2" t="s">
        <v>77</v>
      </c>
      <c r="C39" s="4" t="s">
        <v>646</v>
      </c>
      <c r="D39" s="4" t="s">
        <v>647</v>
      </c>
      <c r="E39" s="4" t="s">
        <v>646</v>
      </c>
      <c r="F39" s="4" t="s">
        <v>646</v>
      </c>
      <c r="G39" s="4" t="s">
        <v>646</v>
      </c>
      <c r="H39" s="4" t="s">
        <v>647</v>
      </c>
      <c r="I39" s="4" t="s">
        <v>646</v>
      </c>
      <c r="J39" s="4" t="s">
        <v>646</v>
      </c>
      <c r="K39" s="4" t="s">
        <v>646</v>
      </c>
      <c r="L39" s="4" t="s">
        <v>646</v>
      </c>
      <c r="M39" s="4" t="s">
        <v>646</v>
      </c>
      <c r="N39" s="4" t="s">
        <v>646</v>
      </c>
      <c r="O39">
        <f t="shared" si="0"/>
        <v>10</v>
      </c>
      <c r="P39">
        <f t="shared" si="1"/>
        <v>2</v>
      </c>
      <c r="Q39" t="str">
        <f t="shared" si="2"/>
        <v>Normal</v>
      </c>
    </row>
    <row r="40" spans="1:17" ht="13.2" x14ac:dyDescent="0.25">
      <c r="A40" s="2" t="s">
        <v>685</v>
      </c>
      <c r="B40" s="2" t="s">
        <v>27</v>
      </c>
      <c r="C40" s="4" t="s">
        <v>646</v>
      </c>
      <c r="D40" s="4" t="s">
        <v>647</v>
      </c>
      <c r="E40" s="4" t="s">
        <v>646</v>
      </c>
      <c r="F40" s="4" t="s">
        <v>646</v>
      </c>
      <c r="G40" s="4" t="s">
        <v>646</v>
      </c>
      <c r="H40" s="4" t="s">
        <v>647</v>
      </c>
      <c r="I40" s="4" t="s">
        <v>646</v>
      </c>
      <c r="J40" s="4" t="s">
        <v>646</v>
      </c>
      <c r="K40" s="4" t="s">
        <v>646</v>
      </c>
      <c r="L40" s="4" t="s">
        <v>646</v>
      </c>
      <c r="M40" s="4" t="s">
        <v>646</v>
      </c>
      <c r="N40" s="4" t="s">
        <v>646</v>
      </c>
      <c r="O40">
        <f t="shared" si="0"/>
        <v>10</v>
      </c>
      <c r="P40">
        <f t="shared" si="1"/>
        <v>2</v>
      </c>
      <c r="Q40" t="str">
        <f t="shared" si="2"/>
        <v>Normal</v>
      </c>
    </row>
    <row r="41" spans="1:17" ht="13.2" x14ac:dyDescent="0.25">
      <c r="A41" s="2" t="s">
        <v>686</v>
      </c>
      <c r="B41" s="2" t="s">
        <v>507</v>
      </c>
      <c r="C41" s="4" t="s">
        <v>646</v>
      </c>
      <c r="D41" s="4" t="s">
        <v>646</v>
      </c>
      <c r="E41" s="4" t="s">
        <v>646</v>
      </c>
      <c r="F41" s="4" t="s">
        <v>646</v>
      </c>
      <c r="G41" s="4" t="s">
        <v>646</v>
      </c>
      <c r="H41" s="4" t="s">
        <v>647</v>
      </c>
      <c r="I41" s="4" t="s">
        <v>646</v>
      </c>
      <c r="J41" s="4" t="s">
        <v>646</v>
      </c>
      <c r="K41" s="4" t="s">
        <v>646</v>
      </c>
      <c r="L41" s="4" t="s">
        <v>646</v>
      </c>
      <c r="M41" s="4" t="s">
        <v>646</v>
      </c>
      <c r="N41" s="4" t="s">
        <v>646</v>
      </c>
      <c r="O41">
        <f t="shared" si="0"/>
        <v>11</v>
      </c>
      <c r="P41">
        <f t="shared" si="1"/>
        <v>1</v>
      </c>
      <c r="Q41" t="str">
        <f t="shared" si="2"/>
        <v>Normal</v>
      </c>
    </row>
    <row r="42" spans="1:17" ht="13.2" x14ac:dyDescent="0.25">
      <c r="A42" s="2" t="s">
        <v>687</v>
      </c>
      <c r="B42" s="2" t="s">
        <v>373</v>
      </c>
      <c r="C42" s="4" t="s">
        <v>646</v>
      </c>
      <c r="D42" s="4" t="s">
        <v>646</v>
      </c>
      <c r="E42" s="4" t="s">
        <v>646</v>
      </c>
      <c r="F42" s="4" t="s">
        <v>646</v>
      </c>
      <c r="G42" s="4" t="s">
        <v>646</v>
      </c>
      <c r="H42" s="4" t="s">
        <v>647</v>
      </c>
      <c r="I42" s="4" t="s">
        <v>646</v>
      </c>
      <c r="J42" s="4" t="s">
        <v>646</v>
      </c>
      <c r="K42" s="4" t="s">
        <v>646</v>
      </c>
      <c r="L42" s="4" t="s">
        <v>646</v>
      </c>
      <c r="M42" s="4" t="s">
        <v>646</v>
      </c>
      <c r="N42" s="4" t="s">
        <v>646</v>
      </c>
      <c r="O42">
        <f t="shared" si="0"/>
        <v>11</v>
      </c>
      <c r="P42">
        <f t="shared" si="1"/>
        <v>1</v>
      </c>
      <c r="Q42" t="str">
        <f t="shared" si="2"/>
        <v>Normal</v>
      </c>
    </row>
    <row r="43" spans="1:17" ht="13.2" x14ac:dyDescent="0.25">
      <c r="A43" s="2" t="s">
        <v>688</v>
      </c>
      <c r="B43" s="2" t="s">
        <v>479</v>
      </c>
      <c r="C43" s="4" t="s">
        <v>646</v>
      </c>
      <c r="D43" s="4" t="s">
        <v>646</v>
      </c>
      <c r="E43" s="4" t="s">
        <v>646</v>
      </c>
      <c r="F43" s="4" t="s">
        <v>646</v>
      </c>
      <c r="G43" s="4" t="s">
        <v>646</v>
      </c>
      <c r="H43" s="4" t="s">
        <v>647</v>
      </c>
      <c r="I43" s="4" t="s">
        <v>646</v>
      </c>
      <c r="J43" s="4" t="s">
        <v>646</v>
      </c>
      <c r="K43" s="4" t="s">
        <v>646</v>
      </c>
      <c r="L43" s="4" t="s">
        <v>646</v>
      </c>
      <c r="M43" s="4" t="s">
        <v>646</v>
      </c>
      <c r="N43" s="4" t="s">
        <v>646</v>
      </c>
      <c r="O43">
        <f t="shared" si="0"/>
        <v>11</v>
      </c>
      <c r="P43">
        <f t="shared" si="1"/>
        <v>1</v>
      </c>
      <c r="Q43" t="str">
        <f t="shared" si="2"/>
        <v>Normal</v>
      </c>
    </row>
    <row r="44" spans="1:17" ht="13.2" x14ac:dyDescent="0.25">
      <c r="A44" s="2" t="s">
        <v>689</v>
      </c>
      <c r="B44" s="2" t="s">
        <v>202</v>
      </c>
      <c r="C44" s="4" t="s">
        <v>646</v>
      </c>
      <c r="D44" s="4" t="s">
        <v>646</v>
      </c>
      <c r="E44" s="4" t="s">
        <v>646</v>
      </c>
      <c r="F44" s="4" t="s">
        <v>646</v>
      </c>
      <c r="G44" s="4" t="s">
        <v>646</v>
      </c>
      <c r="H44" s="4" t="s">
        <v>647</v>
      </c>
      <c r="I44" s="4" t="s">
        <v>646</v>
      </c>
      <c r="J44" s="4" t="s">
        <v>646</v>
      </c>
      <c r="K44" s="4" t="s">
        <v>646</v>
      </c>
      <c r="L44" s="4" t="s">
        <v>646</v>
      </c>
      <c r="M44" s="4" t="s">
        <v>646</v>
      </c>
      <c r="N44" s="4" t="s">
        <v>646</v>
      </c>
      <c r="O44">
        <f t="shared" si="0"/>
        <v>11</v>
      </c>
      <c r="P44">
        <f t="shared" si="1"/>
        <v>1</v>
      </c>
      <c r="Q44" t="str">
        <f t="shared" si="2"/>
        <v>Normal</v>
      </c>
    </row>
    <row r="45" spans="1:17" ht="13.2" x14ac:dyDescent="0.25">
      <c r="A45" s="2" t="s">
        <v>690</v>
      </c>
      <c r="B45" s="2" t="s">
        <v>433</v>
      </c>
      <c r="C45" s="4" t="s">
        <v>646</v>
      </c>
      <c r="D45" s="4" t="s">
        <v>646</v>
      </c>
      <c r="E45" s="4" t="s">
        <v>646</v>
      </c>
      <c r="F45" s="4" t="s">
        <v>646</v>
      </c>
      <c r="G45" s="4" t="s">
        <v>646</v>
      </c>
      <c r="H45" s="4" t="s">
        <v>647</v>
      </c>
      <c r="I45" s="4" t="s">
        <v>646</v>
      </c>
      <c r="J45" s="4" t="s">
        <v>646</v>
      </c>
      <c r="K45" s="4" t="s">
        <v>646</v>
      </c>
      <c r="L45" s="4" t="s">
        <v>646</v>
      </c>
      <c r="M45" s="4" t="s">
        <v>646</v>
      </c>
      <c r="N45" s="4" t="s">
        <v>646</v>
      </c>
      <c r="O45">
        <f t="shared" si="0"/>
        <v>11</v>
      </c>
      <c r="P45">
        <f t="shared" si="1"/>
        <v>1</v>
      </c>
      <c r="Q45" t="str">
        <f t="shared" si="2"/>
        <v>Normal</v>
      </c>
    </row>
    <row r="46" spans="1:17" ht="13.2" x14ac:dyDescent="0.25">
      <c r="A46" s="2" t="s">
        <v>691</v>
      </c>
      <c r="B46" s="2" t="s">
        <v>447</v>
      </c>
      <c r="C46" s="4" t="s">
        <v>646</v>
      </c>
      <c r="D46" s="4" t="s">
        <v>646</v>
      </c>
      <c r="E46" s="4" t="s">
        <v>646</v>
      </c>
      <c r="F46" s="4" t="s">
        <v>646</v>
      </c>
      <c r="G46" s="4" t="s">
        <v>646</v>
      </c>
      <c r="H46" s="4" t="s">
        <v>647</v>
      </c>
      <c r="I46" s="4" t="s">
        <v>646</v>
      </c>
      <c r="J46" s="4" t="s">
        <v>646</v>
      </c>
      <c r="K46" s="4" t="s">
        <v>646</v>
      </c>
      <c r="L46" s="4" t="s">
        <v>646</v>
      </c>
      <c r="M46" s="4" t="s">
        <v>646</v>
      </c>
      <c r="N46" s="4" t="s">
        <v>646</v>
      </c>
      <c r="O46">
        <f t="shared" si="0"/>
        <v>11</v>
      </c>
      <c r="P46">
        <f t="shared" si="1"/>
        <v>1</v>
      </c>
      <c r="Q46" t="str">
        <f t="shared" si="2"/>
        <v>Normal</v>
      </c>
    </row>
    <row r="47" spans="1:17" ht="13.2" x14ac:dyDescent="0.25">
      <c r="A47" s="2" t="s">
        <v>692</v>
      </c>
      <c r="B47" s="2" t="s">
        <v>370</v>
      </c>
      <c r="C47" s="4" t="s">
        <v>646</v>
      </c>
      <c r="D47" s="4" t="s">
        <v>646</v>
      </c>
      <c r="E47" s="4" t="s">
        <v>646</v>
      </c>
      <c r="F47" s="4" t="s">
        <v>646</v>
      </c>
      <c r="G47" s="4" t="s">
        <v>646</v>
      </c>
      <c r="H47" s="4" t="s">
        <v>647</v>
      </c>
      <c r="I47" s="4" t="s">
        <v>646</v>
      </c>
      <c r="J47" s="4" t="s">
        <v>646</v>
      </c>
      <c r="K47" s="4" t="s">
        <v>646</v>
      </c>
      <c r="L47" s="4" t="s">
        <v>646</v>
      </c>
      <c r="M47" s="4" t="s">
        <v>646</v>
      </c>
      <c r="N47" s="4" t="s">
        <v>646</v>
      </c>
      <c r="O47">
        <f t="shared" si="0"/>
        <v>11</v>
      </c>
      <c r="P47">
        <f t="shared" si="1"/>
        <v>1</v>
      </c>
      <c r="Q47" t="str">
        <f t="shared" si="2"/>
        <v>Normal</v>
      </c>
    </row>
    <row r="48" spans="1:17" ht="13.2" x14ac:dyDescent="0.25">
      <c r="A48" s="2" t="s">
        <v>693</v>
      </c>
      <c r="B48" s="2" t="s">
        <v>50</v>
      </c>
      <c r="C48" s="4" t="s">
        <v>646</v>
      </c>
      <c r="D48" s="4" t="s">
        <v>646</v>
      </c>
      <c r="E48" s="4" t="s">
        <v>646</v>
      </c>
      <c r="F48" s="4" t="s">
        <v>646</v>
      </c>
      <c r="G48" s="4" t="s">
        <v>646</v>
      </c>
      <c r="H48" s="4" t="s">
        <v>647</v>
      </c>
      <c r="I48" s="4" t="s">
        <v>646</v>
      </c>
      <c r="J48" s="4" t="s">
        <v>646</v>
      </c>
      <c r="K48" s="4" t="s">
        <v>646</v>
      </c>
      <c r="L48" s="4" t="s">
        <v>646</v>
      </c>
      <c r="M48" s="4" t="s">
        <v>646</v>
      </c>
      <c r="N48" s="4" t="s">
        <v>646</v>
      </c>
      <c r="O48">
        <f t="shared" si="0"/>
        <v>11</v>
      </c>
      <c r="P48">
        <f t="shared" si="1"/>
        <v>1</v>
      </c>
      <c r="Q48" t="str">
        <f t="shared" si="2"/>
        <v>Normal</v>
      </c>
    </row>
    <row r="49" spans="1:17" ht="13.2" x14ac:dyDescent="0.25">
      <c r="A49" s="2" t="s">
        <v>694</v>
      </c>
      <c r="B49" s="2" t="s">
        <v>343</v>
      </c>
      <c r="C49" s="4" t="s">
        <v>646</v>
      </c>
      <c r="D49" s="4" t="s">
        <v>646</v>
      </c>
      <c r="E49" s="4" t="s">
        <v>646</v>
      </c>
      <c r="F49" s="4" t="s">
        <v>646</v>
      </c>
      <c r="G49" s="4" t="s">
        <v>646</v>
      </c>
      <c r="H49" s="4" t="s">
        <v>647</v>
      </c>
      <c r="I49" s="4" t="s">
        <v>646</v>
      </c>
      <c r="J49" s="4" t="s">
        <v>646</v>
      </c>
      <c r="K49" s="4" t="s">
        <v>646</v>
      </c>
      <c r="L49" s="4" t="s">
        <v>646</v>
      </c>
      <c r="M49" s="4" t="s">
        <v>646</v>
      </c>
      <c r="N49" s="4" t="s">
        <v>646</v>
      </c>
      <c r="O49">
        <f t="shared" si="0"/>
        <v>11</v>
      </c>
      <c r="P49">
        <f t="shared" si="1"/>
        <v>1</v>
      </c>
      <c r="Q49" t="str">
        <f t="shared" si="2"/>
        <v>Normal</v>
      </c>
    </row>
    <row r="50" spans="1:17" ht="13.2" x14ac:dyDescent="0.25">
      <c r="A50" s="2" t="s">
        <v>695</v>
      </c>
      <c r="B50" s="2" t="s">
        <v>617</v>
      </c>
      <c r="C50" s="4" t="s">
        <v>646</v>
      </c>
      <c r="D50" s="4" t="s">
        <v>646</v>
      </c>
      <c r="E50" s="4" t="s">
        <v>646</v>
      </c>
      <c r="F50" s="4" t="s">
        <v>646</v>
      </c>
      <c r="G50" s="4" t="s">
        <v>646</v>
      </c>
      <c r="H50" s="4" t="s">
        <v>646</v>
      </c>
      <c r="I50" s="4" t="s">
        <v>646</v>
      </c>
      <c r="J50" s="4" t="s">
        <v>646</v>
      </c>
      <c r="K50" s="4" t="s">
        <v>646</v>
      </c>
      <c r="L50" s="4" t="s">
        <v>646</v>
      </c>
      <c r="M50" s="4" t="s">
        <v>646</v>
      </c>
      <c r="N50" s="4" t="s">
        <v>646</v>
      </c>
      <c r="O50">
        <f t="shared" si="0"/>
        <v>12</v>
      </c>
      <c r="P50">
        <f t="shared" si="1"/>
        <v>0</v>
      </c>
      <c r="Q50" t="str">
        <f t="shared" si="2"/>
        <v>Normal</v>
      </c>
    </row>
    <row r="51" spans="1:17" ht="13.2" x14ac:dyDescent="0.25">
      <c r="A51" s="2" t="s">
        <v>696</v>
      </c>
      <c r="B51" s="2" t="s">
        <v>620</v>
      </c>
      <c r="C51" s="4" t="s">
        <v>646</v>
      </c>
      <c r="D51" s="4" t="s">
        <v>646</v>
      </c>
      <c r="E51" s="4" t="s">
        <v>646</v>
      </c>
      <c r="F51" s="4" t="s">
        <v>646</v>
      </c>
      <c r="G51" s="4" t="s">
        <v>646</v>
      </c>
      <c r="H51" s="4" t="s">
        <v>646</v>
      </c>
      <c r="I51" s="4" t="s">
        <v>646</v>
      </c>
      <c r="J51" s="4" t="s">
        <v>646</v>
      </c>
      <c r="K51" s="4" t="s">
        <v>646</v>
      </c>
      <c r="L51" s="4" t="s">
        <v>646</v>
      </c>
      <c r="M51" s="4" t="s">
        <v>646</v>
      </c>
      <c r="N51" s="4" t="s">
        <v>646</v>
      </c>
      <c r="O51">
        <f t="shared" si="0"/>
        <v>12</v>
      </c>
      <c r="P51">
        <f t="shared" si="1"/>
        <v>0</v>
      </c>
      <c r="Q51" t="str">
        <f t="shared" si="2"/>
        <v>Normal</v>
      </c>
    </row>
    <row r="52" spans="1:17" ht="13.2" x14ac:dyDescent="0.25">
      <c r="A52" s="2" t="s">
        <v>697</v>
      </c>
      <c r="B52" s="2" t="s">
        <v>493</v>
      </c>
      <c r="C52" s="4" t="s">
        <v>646</v>
      </c>
      <c r="D52" s="4" t="s">
        <v>646</v>
      </c>
      <c r="E52" s="4" t="s">
        <v>646</v>
      </c>
      <c r="F52" s="4" t="s">
        <v>646</v>
      </c>
      <c r="G52" s="4" t="s">
        <v>646</v>
      </c>
      <c r="H52" s="4" t="s">
        <v>646</v>
      </c>
      <c r="I52" s="4" t="s">
        <v>646</v>
      </c>
      <c r="J52" s="4" t="s">
        <v>646</v>
      </c>
      <c r="K52" s="4" t="s">
        <v>646</v>
      </c>
      <c r="L52" s="4" t="s">
        <v>646</v>
      </c>
      <c r="M52" s="4" t="s">
        <v>646</v>
      </c>
      <c r="N52" s="4" t="s">
        <v>646</v>
      </c>
      <c r="O52">
        <f t="shared" si="0"/>
        <v>12</v>
      </c>
      <c r="P52">
        <f t="shared" si="1"/>
        <v>0</v>
      </c>
      <c r="Q52" t="str">
        <f t="shared" si="2"/>
        <v>Normal</v>
      </c>
    </row>
    <row r="53" spans="1:17" ht="13.2" x14ac:dyDescent="0.25">
      <c r="A53" s="2" t="s">
        <v>698</v>
      </c>
      <c r="B53" s="2" t="s">
        <v>501</v>
      </c>
      <c r="C53" s="4" t="s">
        <v>646</v>
      </c>
      <c r="D53" s="4" t="s">
        <v>646</v>
      </c>
      <c r="E53" s="4" t="s">
        <v>646</v>
      </c>
      <c r="F53" s="4" t="s">
        <v>646</v>
      </c>
      <c r="G53" s="4" t="s">
        <v>646</v>
      </c>
      <c r="H53" s="4" t="s">
        <v>646</v>
      </c>
      <c r="I53" s="4" t="s">
        <v>646</v>
      </c>
      <c r="J53" s="4" t="s">
        <v>646</v>
      </c>
      <c r="K53" s="4" t="s">
        <v>646</v>
      </c>
      <c r="L53" s="4" t="s">
        <v>646</v>
      </c>
      <c r="M53" s="4" t="s">
        <v>646</v>
      </c>
      <c r="N53" s="4" t="s">
        <v>646</v>
      </c>
      <c r="O53">
        <f t="shared" si="0"/>
        <v>12</v>
      </c>
      <c r="P53">
        <f t="shared" si="1"/>
        <v>0</v>
      </c>
      <c r="Q53" t="str">
        <f t="shared" si="2"/>
        <v>Normal</v>
      </c>
    </row>
    <row r="54" spans="1:17" ht="13.2" x14ac:dyDescent="0.25">
      <c r="A54" s="2" t="s">
        <v>699</v>
      </c>
      <c r="B54" s="2" t="s">
        <v>582</v>
      </c>
      <c r="C54" s="4" t="s">
        <v>646</v>
      </c>
      <c r="D54" s="4" t="s">
        <v>646</v>
      </c>
      <c r="E54" s="4" t="s">
        <v>646</v>
      </c>
      <c r="F54" s="4" t="s">
        <v>646</v>
      </c>
      <c r="G54" s="4" t="s">
        <v>646</v>
      </c>
      <c r="H54" s="4" t="s">
        <v>646</v>
      </c>
      <c r="I54" s="4" t="s">
        <v>646</v>
      </c>
      <c r="J54" s="4" t="s">
        <v>646</v>
      </c>
      <c r="K54" s="4" t="s">
        <v>646</v>
      </c>
      <c r="L54" s="4" t="s">
        <v>646</v>
      </c>
      <c r="M54" s="4" t="s">
        <v>646</v>
      </c>
      <c r="N54" s="4" t="s">
        <v>646</v>
      </c>
      <c r="O54">
        <f t="shared" si="0"/>
        <v>12</v>
      </c>
      <c r="P54">
        <f t="shared" si="1"/>
        <v>0</v>
      </c>
      <c r="Q54" t="str">
        <f t="shared" si="2"/>
        <v>Normal</v>
      </c>
    </row>
    <row r="55" spans="1:17" ht="13.2" x14ac:dyDescent="0.25">
      <c r="A55" s="2" t="s">
        <v>700</v>
      </c>
      <c r="B55" s="2" t="s">
        <v>214</v>
      </c>
      <c r="C55" s="4" t="s">
        <v>646</v>
      </c>
      <c r="D55" s="4" t="s">
        <v>646</v>
      </c>
      <c r="E55" s="4" t="s">
        <v>646</v>
      </c>
      <c r="F55" s="4" t="s">
        <v>646</v>
      </c>
      <c r="G55" s="4" t="s">
        <v>646</v>
      </c>
      <c r="H55" s="4" t="s">
        <v>646</v>
      </c>
      <c r="I55" s="4" t="s">
        <v>646</v>
      </c>
      <c r="J55" s="4" t="s">
        <v>646</v>
      </c>
      <c r="K55" s="4" t="s">
        <v>646</v>
      </c>
      <c r="L55" s="4" t="s">
        <v>646</v>
      </c>
      <c r="M55" s="4" t="s">
        <v>646</v>
      </c>
      <c r="N55" s="4" t="s">
        <v>646</v>
      </c>
      <c r="O55">
        <f t="shared" si="0"/>
        <v>12</v>
      </c>
      <c r="P55">
        <f t="shared" si="1"/>
        <v>0</v>
      </c>
      <c r="Q55" t="str">
        <f t="shared" si="2"/>
        <v>Normal</v>
      </c>
    </row>
    <row r="56" spans="1:17" ht="13.2" x14ac:dyDescent="0.25">
      <c r="A56" s="2" t="s">
        <v>701</v>
      </c>
      <c r="B56" s="2" t="s">
        <v>105</v>
      </c>
      <c r="C56" s="4" t="s">
        <v>646</v>
      </c>
      <c r="D56" s="4" t="s">
        <v>646</v>
      </c>
      <c r="E56" s="4" t="s">
        <v>646</v>
      </c>
      <c r="F56" s="4" t="s">
        <v>646</v>
      </c>
      <c r="G56" s="4" t="s">
        <v>646</v>
      </c>
      <c r="H56" s="4" t="s">
        <v>646</v>
      </c>
      <c r="I56" s="4" t="s">
        <v>646</v>
      </c>
      <c r="J56" s="4" t="s">
        <v>646</v>
      </c>
      <c r="K56" s="4" t="s">
        <v>646</v>
      </c>
      <c r="L56" s="4" t="s">
        <v>646</v>
      </c>
      <c r="M56" s="4" t="s">
        <v>646</v>
      </c>
      <c r="N56" s="4" t="s">
        <v>646</v>
      </c>
      <c r="O56">
        <f t="shared" si="0"/>
        <v>12</v>
      </c>
      <c r="P56">
        <f t="shared" si="1"/>
        <v>0</v>
      </c>
      <c r="Q56" t="str">
        <f t="shared" si="2"/>
        <v>Normal</v>
      </c>
    </row>
    <row r="57" spans="1:17" ht="13.2" x14ac:dyDescent="0.25">
      <c r="A57" s="2" t="s">
        <v>702</v>
      </c>
      <c r="B57" s="2" t="s">
        <v>600</v>
      </c>
      <c r="C57" s="4" t="s">
        <v>646</v>
      </c>
      <c r="D57" s="4" t="s">
        <v>646</v>
      </c>
      <c r="E57" s="4" t="s">
        <v>646</v>
      </c>
      <c r="F57" s="4" t="s">
        <v>646</v>
      </c>
      <c r="G57" s="4" t="s">
        <v>646</v>
      </c>
      <c r="H57" s="4" t="s">
        <v>646</v>
      </c>
      <c r="I57" s="4" t="s">
        <v>646</v>
      </c>
      <c r="J57" s="4" t="s">
        <v>646</v>
      </c>
      <c r="K57" s="4" t="s">
        <v>646</v>
      </c>
      <c r="L57" s="4" t="s">
        <v>646</v>
      </c>
      <c r="M57" s="4" t="s">
        <v>646</v>
      </c>
      <c r="N57" s="4" t="s">
        <v>646</v>
      </c>
      <c r="O57">
        <f t="shared" si="0"/>
        <v>12</v>
      </c>
      <c r="P57">
        <f t="shared" si="1"/>
        <v>0</v>
      </c>
      <c r="Q57" t="str">
        <f t="shared" si="2"/>
        <v>Normal</v>
      </c>
    </row>
    <row r="58" spans="1:17" ht="13.2" x14ac:dyDescent="0.25">
      <c r="A58" s="2" t="s">
        <v>703</v>
      </c>
      <c r="B58" s="2" t="s">
        <v>594</v>
      </c>
      <c r="C58" s="4" t="s">
        <v>646</v>
      </c>
      <c r="D58" s="4" t="s">
        <v>646</v>
      </c>
      <c r="E58" s="4" t="s">
        <v>646</v>
      </c>
      <c r="F58" s="4" t="s">
        <v>646</v>
      </c>
      <c r="G58" s="4" t="s">
        <v>646</v>
      </c>
      <c r="H58" s="4" t="s">
        <v>646</v>
      </c>
      <c r="I58" s="4" t="s">
        <v>646</v>
      </c>
      <c r="J58" s="4" t="s">
        <v>646</v>
      </c>
      <c r="K58" s="4" t="s">
        <v>646</v>
      </c>
      <c r="L58" s="4" t="s">
        <v>646</v>
      </c>
      <c r="M58" s="4" t="s">
        <v>646</v>
      </c>
      <c r="N58" s="4" t="s">
        <v>646</v>
      </c>
      <c r="O58">
        <f t="shared" si="0"/>
        <v>12</v>
      </c>
      <c r="P58">
        <f t="shared" si="1"/>
        <v>0</v>
      </c>
      <c r="Q58" t="str">
        <f t="shared" si="2"/>
        <v>Normal</v>
      </c>
    </row>
    <row r="59" spans="1:17" ht="13.2" x14ac:dyDescent="0.25">
      <c r="A59" s="2" t="s">
        <v>704</v>
      </c>
      <c r="B59" s="2" t="s">
        <v>346</v>
      </c>
      <c r="C59" s="4" t="s">
        <v>646</v>
      </c>
      <c r="D59" s="4" t="s">
        <v>646</v>
      </c>
      <c r="E59" s="4" t="s">
        <v>646</v>
      </c>
      <c r="F59" s="4" t="s">
        <v>646</v>
      </c>
      <c r="G59" s="4" t="s">
        <v>646</v>
      </c>
      <c r="H59" s="4" t="s">
        <v>646</v>
      </c>
      <c r="I59" s="4" t="s">
        <v>646</v>
      </c>
      <c r="J59" s="4" t="s">
        <v>646</v>
      </c>
      <c r="K59" s="4" t="s">
        <v>646</v>
      </c>
      <c r="L59" s="4" t="s">
        <v>646</v>
      </c>
      <c r="M59" s="4" t="s">
        <v>646</v>
      </c>
      <c r="N59" s="4" t="s">
        <v>646</v>
      </c>
      <c r="O59">
        <f t="shared" si="0"/>
        <v>12</v>
      </c>
      <c r="P59">
        <f t="shared" si="1"/>
        <v>0</v>
      </c>
      <c r="Q59" t="str">
        <f t="shared" si="2"/>
        <v>Normal</v>
      </c>
    </row>
    <row r="60" spans="1:17" ht="13.2" x14ac:dyDescent="0.25">
      <c r="A60" s="2" t="s">
        <v>705</v>
      </c>
      <c r="B60" s="2" t="s">
        <v>591</v>
      </c>
      <c r="C60" s="4" t="s">
        <v>646</v>
      </c>
      <c r="D60" s="4" t="s">
        <v>646</v>
      </c>
      <c r="E60" s="4" t="s">
        <v>646</v>
      </c>
      <c r="F60" s="4" t="s">
        <v>646</v>
      </c>
      <c r="G60" s="4" t="s">
        <v>646</v>
      </c>
      <c r="H60" s="4" t="s">
        <v>646</v>
      </c>
      <c r="I60" s="4" t="s">
        <v>646</v>
      </c>
      <c r="J60" s="4" t="s">
        <v>646</v>
      </c>
      <c r="K60" s="4" t="s">
        <v>646</v>
      </c>
      <c r="L60" s="4" t="s">
        <v>646</v>
      </c>
      <c r="M60" s="4" t="s">
        <v>646</v>
      </c>
      <c r="N60" s="4" t="s">
        <v>646</v>
      </c>
      <c r="O60">
        <f t="shared" si="0"/>
        <v>12</v>
      </c>
      <c r="P60">
        <f t="shared" si="1"/>
        <v>0</v>
      </c>
      <c r="Q60" t="str">
        <f t="shared" si="2"/>
        <v>Normal</v>
      </c>
    </row>
    <row r="61" spans="1:17" ht="13.2" x14ac:dyDescent="0.25">
      <c r="A61" s="2" t="s">
        <v>706</v>
      </c>
      <c r="B61" s="2" t="s">
        <v>572</v>
      </c>
      <c r="C61" s="4" t="s">
        <v>646</v>
      </c>
      <c r="D61" s="4" t="s">
        <v>646</v>
      </c>
      <c r="E61" s="4" t="s">
        <v>646</v>
      </c>
      <c r="F61" s="4" t="s">
        <v>646</v>
      </c>
      <c r="G61" s="4" t="s">
        <v>646</v>
      </c>
      <c r="H61" s="4" t="s">
        <v>646</v>
      </c>
      <c r="I61" s="4" t="s">
        <v>646</v>
      </c>
      <c r="J61" s="4" t="s">
        <v>646</v>
      </c>
      <c r="K61" s="4" t="s">
        <v>646</v>
      </c>
      <c r="L61" s="4" t="s">
        <v>646</v>
      </c>
      <c r="M61" s="4" t="s">
        <v>646</v>
      </c>
      <c r="N61" s="4" t="s">
        <v>646</v>
      </c>
      <c r="O61">
        <f t="shared" si="0"/>
        <v>12</v>
      </c>
      <c r="P61">
        <f t="shared" si="1"/>
        <v>0</v>
      </c>
      <c r="Q61" t="str">
        <f t="shared" si="2"/>
        <v>Normal</v>
      </c>
    </row>
    <row r="62" spans="1:17" ht="13.2" x14ac:dyDescent="0.25">
      <c r="A62" s="2" t="s">
        <v>707</v>
      </c>
      <c r="B62" s="2" t="s">
        <v>414</v>
      </c>
      <c r="C62" s="4" t="s">
        <v>646</v>
      </c>
      <c r="D62" s="4" t="s">
        <v>646</v>
      </c>
      <c r="E62" s="4" t="s">
        <v>646</v>
      </c>
      <c r="F62" s="4" t="s">
        <v>646</v>
      </c>
      <c r="G62" s="4" t="s">
        <v>646</v>
      </c>
      <c r="H62" s="4" t="s">
        <v>646</v>
      </c>
      <c r="I62" s="4" t="s">
        <v>646</v>
      </c>
      <c r="J62" s="4" t="s">
        <v>646</v>
      </c>
      <c r="K62" s="4" t="s">
        <v>646</v>
      </c>
      <c r="L62" s="4" t="s">
        <v>646</v>
      </c>
      <c r="M62" s="4" t="s">
        <v>646</v>
      </c>
      <c r="N62" s="4" t="s">
        <v>646</v>
      </c>
      <c r="O62">
        <f t="shared" si="0"/>
        <v>12</v>
      </c>
      <c r="P62">
        <f t="shared" si="1"/>
        <v>0</v>
      </c>
      <c r="Q62" t="str">
        <f t="shared" si="2"/>
        <v>Normal</v>
      </c>
    </row>
    <row r="63" spans="1:17" ht="13.2" x14ac:dyDescent="0.25">
      <c r="A63" s="2" t="s">
        <v>708</v>
      </c>
      <c r="B63" s="2" t="s">
        <v>584</v>
      </c>
      <c r="C63" s="4" t="s">
        <v>646</v>
      </c>
      <c r="D63" s="4" t="s">
        <v>646</v>
      </c>
      <c r="E63" s="4" t="s">
        <v>646</v>
      </c>
      <c r="F63" s="4" t="s">
        <v>646</v>
      </c>
      <c r="G63" s="4" t="s">
        <v>646</v>
      </c>
      <c r="H63" s="4" t="s">
        <v>646</v>
      </c>
      <c r="I63" s="4" t="s">
        <v>646</v>
      </c>
      <c r="J63" s="4" t="s">
        <v>646</v>
      </c>
      <c r="K63" s="4" t="s">
        <v>646</v>
      </c>
      <c r="L63" s="4" t="s">
        <v>646</v>
      </c>
      <c r="M63" s="4" t="s">
        <v>646</v>
      </c>
      <c r="N63" s="4" t="s">
        <v>646</v>
      </c>
      <c r="O63">
        <f t="shared" si="0"/>
        <v>12</v>
      </c>
      <c r="P63">
        <f t="shared" si="1"/>
        <v>0</v>
      </c>
      <c r="Q63" t="str">
        <f t="shared" si="2"/>
        <v>Normal</v>
      </c>
    </row>
    <row r="64" spans="1:17" ht="13.2" x14ac:dyDescent="0.25">
      <c r="A64" s="2" t="s">
        <v>709</v>
      </c>
      <c r="B64" s="2" t="s">
        <v>578</v>
      </c>
      <c r="C64" s="4" t="s">
        <v>646</v>
      </c>
      <c r="D64" s="4" t="s">
        <v>646</v>
      </c>
      <c r="E64" s="4" t="s">
        <v>646</v>
      </c>
      <c r="F64" s="4" t="s">
        <v>646</v>
      </c>
      <c r="G64" s="4" t="s">
        <v>646</v>
      </c>
      <c r="H64" s="4" t="s">
        <v>646</v>
      </c>
      <c r="I64" s="4" t="s">
        <v>646</v>
      </c>
      <c r="J64" s="4" t="s">
        <v>646</v>
      </c>
      <c r="K64" s="4" t="s">
        <v>646</v>
      </c>
      <c r="L64" s="4" t="s">
        <v>646</v>
      </c>
      <c r="M64" s="4" t="s">
        <v>646</v>
      </c>
      <c r="N64" s="4" t="s">
        <v>646</v>
      </c>
      <c r="O64">
        <f t="shared" si="0"/>
        <v>12</v>
      </c>
      <c r="P64">
        <f t="shared" si="1"/>
        <v>0</v>
      </c>
      <c r="Q64" t="str">
        <f t="shared" si="2"/>
        <v>Normal</v>
      </c>
    </row>
    <row r="65" spans="1:17" ht="13.2" x14ac:dyDescent="0.25">
      <c r="A65" s="2" t="s">
        <v>710</v>
      </c>
      <c r="B65" s="2" t="s">
        <v>69</v>
      </c>
      <c r="C65" s="4" t="s">
        <v>646</v>
      </c>
      <c r="D65" s="4" t="s">
        <v>646</v>
      </c>
      <c r="E65" s="4" t="s">
        <v>646</v>
      </c>
      <c r="F65" s="4" t="s">
        <v>646</v>
      </c>
      <c r="G65" s="4" t="s">
        <v>646</v>
      </c>
      <c r="H65" s="4" t="s">
        <v>646</v>
      </c>
      <c r="I65" s="4" t="s">
        <v>646</v>
      </c>
      <c r="J65" s="4" t="s">
        <v>646</v>
      </c>
      <c r="K65" s="4" t="s">
        <v>646</v>
      </c>
      <c r="L65" s="4" t="s">
        <v>646</v>
      </c>
      <c r="M65" s="4" t="s">
        <v>646</v>
      </c>
      <c r="N65" s="4" t="s">
        <v>646</v>
      </c>
      <c r="O65">
        <f t="shared" si="0"/>
        <v>12</v>
      </c>
      <c r="P65">
        <f t="shared" si="1"/>
        <v>0</v>
      </c>
      <c r="Q65" t="str">
        <f t="shared" si="2"/>
        <v>Normal</v>
      </c>
    </row>
    <row r="66" spans="1:17" ht="13.2" x14ac:dyDescent="0.25">
      <c r="A66" s="2" t="s">
        <v>711</v>
      </c>
      <c r="B66" s="2" t="s">
        <v>37</v>
      </c>
      <c r="C66" s="4" t="s">
        <v>646</v>
      </c>
      <c r="D66" s="4" t="s">
        <v>646</v>
      </c>
      <c r="E66" s="4" t="s">
        <v>646</v>
      </c>
      <c r="F66" s="4" t="s">
        <v>646</v>
      </c>
      <c r="G66" s="4" t="s">
        <v>646</v>
      </c>
      <c r="H66" s="4" t="s">
        <v>646</v>
      </c>
      <c r="I66" s="4" t="s">
        <v>646</v>
      </c>
      <c r="J66" s="4" t="s">
        <v>646</v>
      </c>
      <c r="K66" s="4" t="s">
        <v>646</v>
      </c>
      <c r="L66" s="4" t="s">
        <v>646</v>
      </c>
      <c r="M66" s="4" t="s">
        <v>646</v>
      </c>
      <c r="N66" s="4" t="s">
        <v>646</v>
      </c>
      <c r="O66">
        <f t="shared" si="0"/>
        <v>12</v>
      </c>
      <c r="P66">
        <f t="shared" si="1"/>
        <v>0</v>
      </c>
      <c r="Q66" t="str">
        <f t="shared" si="2"/>
        <v>Normal</v>
      </c>
    </row>
    <row r="67" spans="1:17" ht="13.2" x14ac:dyDescent="0.25">
      <c r="A67" s="2" t="s">
        <v>712</v>
      </c>
      <c r="B67" s="2" t="s">
        <v>306</v>
      </c>
      <c r="C67" s="4" t="s">
        <v>646</v>
      </c>
      <c r="D67" s="4" t="s">
        <v>646</v>
      </c>
      <c r="E67" s="4" t="s">
        <v>646</v>
      </c>
      <c r="F67" s="4" t="s">
        <v>646</v>
      </c>
      <c r="G67" s="4" t="s">
        <v>646</v>
      </c>
      <c r="H67" s="4" t="s">
        <v>646</v>
      </c>
      <c r="I67" s="4" t="s">
        <v>646</v>
      </c>
      <c r="J67" s="4" t="s">
        <v>646</v>
      </c>
      <c r="K67" s="4" t="s">
        <v>646</v>
      </c>
      <c r="L67" s="4" t="s">
        <v>646</v>
      </c>
      <c r="M67" s="4" t="s">
        <v>646</v>
      </c>
      <c r="N67" s="4" t="s">
        <v>646</v>
      </c>
      <c r="O67">
        <f t="shared" ref="O67:O130" si="3">+COUNTIF(C67:N67,"Present")</f>
        <v>12</v>
      </c>
      <c r="P67">
        <f t="shared" ref="P67:P130" si="4">+COUNTIF(C67:O67,"Absent")</f>
        <v>0</v>
      </c>
      <c r="Q67" t="str">
        <f t="shared" ref="Q67:Q130" si="5">IF(P67&gt;3,"At Risk","Normal")</f>
        <v>Normal</v>
      </c>
    </row>
    <row r="68" spans="1:17" ht="13.2" x14ac:dyDescent="0.25">
      <c r="A68" s="2" t="s">
        <v>713</v>
      </c>
      <c r="B68" s="2" t="s">
        <v>569</v>
      </c>
      <c r="C68" s="4" t="s">
        <v>646</v>
      </c>
      <c r="D68" s="4" t="s">
        <v>646</v>
      </c>
      <c r="E68" s="4" t="s">
        <v>646</v>
      </c>
      <c r="F68" s="4" t="s">
        <v>646</v>
      </c>
      <c r="G68" s="4" t="s">
        <v>646</v>
      </c>
      <c r="H68" s="4" t="s">
        <v>646</v>
      </c>
      <c r="I68" s="4" t="s">
        <v>646</v>
      </c>
      <c r="J68" s="4" t="s">
        <v>646</v>
      </c>
      <c r="K68" s="4" t="s">
        <v>646</v>
      </c>
      <c r="L68" s="4" t="s">
        <v>646</v>
      </c>
      <c r="M68" s="4" t="s">
        <v>646</v>
      </c>
      <c r="N68" s="4" t="s">
        <v>646</v>
      </c>
      <c r="O68">
        <f t="shared" si="3"/>
        <v>12</v>
      </c>
      <c r="P68">
        <f t="shared" si="4"/>
        <v>0</v>
      </c>
      <c r="Q68" t="str">
        <f t="shared" si="5"/>
        <v>Normal</v>
      </c>
    </row>
    <row r="69" spans="1:17" ht="13.2" x14ac:dyDescent="0.25">
      <c r="A69" s="2" t="s">
        <v>714</v>
      </c>
      <c r="B69" s="2" t="s">
        <v>512</v>
      </c>
      <c r="C69" s="4" t="s">
        <v>646</v>
      </c>
      <c r="D69" s="4" t="s">
        <v>646</v>
      </c>
      <c r="E69" s="4" t="s">
        <v>646</v>
      </c>
      <c r="F69" s="4" t="s">
        <v>646</v>
      </c>
      <c r="G69" s="4" t="s">
        <v>646</v>
      </c>
      <c r="H69" s="4" t="s">
        <v>646</v>
      </c>
      <c r="I69" s="4" t="s">
        <v>646</v>
      </c>
      <c r="J69" s="4" t="s">
        <v>646</v>
      </c>
      <c r="K69" s="4" t="s">
        <v>646</v>
      </c>
      <c r="L69" s="4" t="s">
        <v>646</v>
      </c>
      <c r="M69" s="4" t="s">
        <v>646</v>
      </c>
      <c r="N69" s="4" t="s">
        <v>646</v>
      </c>
      <c r="O69">
        <f t="shared" si="3"/>
        <v>12</v>
      </c>
      <c r="P69">
        <f t="shared" si="4"/>
        <v>0</v>
      </c>
      <c r="Q69" t="str">
        <f t="shared" si="5"/>
        <v>Normal</v>
      </c>
    </row>
    <row r="70" spans="1:17" ht="13.2" x14ac:dyDescent="0.25">
      <c r="A70" s="2" t="s">
        <v>715</v>
      </c>
      <c r="B70" s="2" t="s">
        <v>558</v>
      </c>
      <c r="C70" s="4" t="s">
        <v>646</v>
      </c>
      <c r="D70" s="4" t="s">
        <v>646</v>
      </c>
      <c r="E70" s="4" t="s">
        <v>646</v>
      </c>
      <c r="F70" s="4" t="s">
        <v>646</v>
      </c>
      <c r="G70" s="4" t="s">
        <v>646</v>
      </c>
      <c r="H70" s="4" t="s">
        <v>646</v>
      </c>
      <c r="I70" s="4" t="s">
        <v>646</v>
      </c>
      <c r="J70" s="4" t="s">
        <v>646</v>
      </c>
      <c r="K70" s="4" t="s">
        <v>646</v>
      </c>
      <c r="L70" s="4" t="s">
        <v>646</v>
      </c>
      <c r="M70" s="4" t="s">
        <v>646</v>
      </c>
      <c r="N70" s="4" t="s">
        <v>646</v>
      </c>
      <c r="O70">
        <f t="shared" si="3"/>
        <v>12</v>
      </c>
      <c r="P70">
        <f t="shared" si="4"/>
        <v>0</v>
      </c>
      <c r="Q70" t="str">
        <f t="shared" si="5"/>
        <v>Normal</v>
      </c>
    </row>
    <row r="71" spans="1:17" ht="13.2" x14ac:dyDescent="0.25">
      <c r="A71" s="2" t="s">
        <v>716</v>
      </c>
      <c r="B71" s="2" t="s">
        <v>561</v>
      </c>
      <c r="C71" s="4" t="s">
        <v>646</v>
      </c>
      <c r="D71" s="4" t="s">
        <v>646</v>
      </c>
      <c r="E71" s="4" t="s">
        <v>646</v>
      </c>
      <c r="F71" s="4" t="s">
        <v>646</v>
      </c>
      <c r="G71" s="4" t="s">
        <v>646</v>
      </c>
      <c r="H71" s="4" t="s">
        <v>646</v>
      </c>
      <c r="I71" s="4" t="s">
        <v>646</v>
      </c>
      <c r="J71" s="4" t="s">
        <v>646</v>
      </c>
      <c r="K71" s="4" t="s">
        <v>646</v>
      </c>
      <c r="L71" s="4" t="s">
        <v>646</v>
      </c>
      <c r="M71" s="4" t="s">
        <v>646</v>
      </c>
      <c r="N71" s="4" t="s">
        <v>646</v>
      </c>
      <c r="O71">
        <f t="shared" si="3"/>
        <v>12</v>
      </c>
      <c r="P71">
        <f t="shared" si="4"/>
        <v>0</v>
      </c>
      <c r="Q71" t="str">
        <f t="shared" si="5"/>
        <v>Normal</v>
      </c>
    </row>
    <row r="72" spans="1:17" ht="13.2" x14ac:dyDescent="0.25">
      <c r="A72" s="2" t="s">
        <v>717</v>
      </c>
      <c r="B72" s="2" t="s">
        <v>273</v>
      </c>
      <c r="C72" s="4" t="s">
        <v>646</v>
      </c>
      <c r="D72" s="4" t="s">
        <v>646</v>
      </c>
      <c r="E72" s="4" t="s">
        <v>646</v>
      </c>
      <c r="F72" s="4" t="s">
        <v>646</v>
      </c>
      <c r="G72" s="4" t="s">
        <v>646</v>
      </c>
      <c r="H72" s="4" t="s">
        <v>646</v>
      </c>
      <c r="I72" s="4" t="s">
        <v>646</v>
      </c>
      <c r="J72" s="4" t="s">
        <v>646</v>
      </c>
      <c r="K72" s="4" t="s">
        <v>646</v>
      </c>
      <c r="L72" s="4" t="s">
        <v>646</v>
      </c>
      <c r="M72" s="4" t="s">
        <v>646</v>
      </c>
      <c r="N72" s="4" t="s">
        <v>646</v>
      </c>
      <c r="O72">
        <f t="shared" si="3"/>
        <v>12</v>
      </c>
      <c r="P72">
        <f t="shared" si="4"/>
        <v>0</v>
      </c>
      <c r="Q72" t="str">
        <f t="shared" si="5"/>
        <v>Normal</v>
      </c>
    </row>
    <row r="73" spans="1:17" ht="13.2" x14ac:dyDescent="0.25">
      <c r="A73" s="2" t="s">
        <v>718</v>
      </c>
      <c r="B73" s="2" t="s">
        <v>553</v>
      </c>
      <c r="C73" s="4" t="s">
        <v>646</v>
      </c>
      <c r="D73" s="4" t="s">
        <v>646</v>
      </c>
      <c r="E73" s="4" t="s">
        <v>646</v>
      </c>
      <c r="F73" s="4" t="s">
        <v>646</v>
      </c>
      <c r="G73" s="4" t="s">
        <v>646</v>
      </c>
      <c r="H73" s="4" t="s">
        <v>646</v>
      </c>
      <c r="I73" s="4" t="s">
        <v>646</v>
      </c>
      <c r="J73" s="4" t="s">
        <v>646</v>
      </c>
      <c r="K73" s="4" t="s">
        <v>646</v>
      </c>
      <c r="L73" s="4" t="s">
        <v>646</v>
      </c>
      <c r="M73" s="4" t="s">
        <v>646</v>
      </c>
      <c r="N73" s="4" t="s">
        <v>646</v>
      </c>
      <c r="O73">
        <f t="shared" si="3"/>
        <v>12</v>
      </c>
      <c r="P73">
        <f t="shared" si="4"/>
        <v>0</v>
      </c>
      <c r="Q73" t="str">
        <f t="shared" si="5"/>
        <v>Normal</v>
      </c>
    </row>
    <row r="74" spans="1:17" ht="13.2" x14ac:dyDescent="0.25">
      <c r="A74" s="2" t="s">
        <v>719</v>
      </c>
      <c r="B74" s="2" t="s">
        <v>550</v>
      </c>
      <c r="C74" s="4" t="s">
        <v>646</v>
      </c>
      <c r="D74" s="4" t="s">
        <v>646</v>
      </c>
      <c r="E74" s="4" t="s">
        <v>646</v>
      </c>
      <c r="F74" s="4" t="s">
        <v>646</v>
      </c>
      <c r="G74" s="4" t="s">
        <v>646</v>
      </c>
      <c r="H74" s="4" t="s">
        <v>646</v>
      </c>
      <c r="I74" s="4" t="s">
        <v>646</v>
      </c>
      <c r="J74" s="4" t="s">
        <v>646</v>
      </c>
      <c r="K74" s="4" t="s">
        <v>646</v>
      </c>
      <c r="L74" s="4" t="s">
        <v>646</v>
      </c>
      <c r="M74" s="4" t="s">
        <v>646</v>
      </c>
      <c r="N74" s="4" t="s">
        <v>646</v>
      </c>
      <c r="O74">
        <f t="shared" si="3"/>
        <v>12</v>
      </c>
      <c r="P74">
        <f t="shared" si="4"/>
        <v>0</v>
      </c>
      <c r="Q74" t="str">
        <f t="shared" si="5"/>
        <v>Normal</v>
      </c>
    </row>
    <row r="75" spans="1:17" ht="13.2" x14ac:dyDescent="0.25">
      <c r="A75" s="2" t="s">
        <v>720</v>
      </c>
      <c r="B75" s="2" t="s">
        <v>536</v>
      </c>
      <c r="C75" s="4" t="s">
        <v>646</v>
      </c>
      <c r="D75" s="4" t="s">
        <v>646</v>
      </c>
      <c r="E75" s="4" t="s">
        <v>646</v>
      </c>
      <c r="F75" s="4" t="s">
        <v>646</v>
      </c>
      <c r="G75" s="4" t="s">
        <v>646</v>
      </c>
      <c r="H75" s="4" t="s">
        <v>646</v>
      </c>
      <c r="I75" s="4" t="s">
        <v>646</v>
      </c>
      <c r="J75" s="4" t="s">
        <v>646</v>
      </c>
      <c r="K75" s="4" t="s">
        <v>646</v>
      </c>
      <c r="L75" s="4" t="s">
        <v>646</v>
      </c>
      <c r="M75" s="4" t="s">
        <v>646</v>
      </c>
      <c r="N75" s="4" t="s">
        <v>646</v>
      </c>
      <c r="O75">
        <f t="shared" si="3"/>
        <v>12</v>
      </c>
      <c r="P75">
        <f t="shared" si="4"/>
        <v>0</v>
      </c>
      <c r="Q75" t="str">
        <f t="shared" si="5"/>
        <v>Normal</v>
      </c>
    </row>
    <row r="76" spans="1:17" ht="13.2" x14ac:dyDescent="0.25">
      <c r="A76" s="2" t="s">
        <v>721</v>
      </c>
      <c r="B76" s="2" t="s">
        <v>524</v>
      </c>
      <c r="C76" s="4" t="s">
        <v>646</v>
      </c>
      <c r="D76" s="4" t="s">
        <v>646</v>
      </c>
      <c r="E76" s="4" t="s">
        <v>646</v>
      </c>
      <c r="F76" s="4" t="s">
        <v>646</v>
      </c>
      <c r="G76" s="4" t="s">
        <v>646</v>
      </c>
      <c r="H76" s="4" t="s">
        <v>646</v>
      </c>
      <c r="I76" s="4" t="s">
        <v>646</v>
      </c>
      <c r="J76" s="4" t="s">
        <v>646</v>
      </c>
      <c r="K76" s="4" t="s">
        <v>646</v>
      </c>
      <c r="L76" s="4" t="s">
        <v>646</v>
      </c>
      <c r="M76" s="4" t="s">
        <v>646</v>
      </c>
      <c r="N76" s="4" t="s">
        <v>646</v>
      </c>
      <c r="O76">
        <f t="shared" si="3"/>
        <v>12</v>
      </c>
      <c r="P76">
        <f t="shared" si="4"/>
        <v>0</v>
      </c>
      <c r="Q76" t="str">
        <f t="shared" si="5"/>
        <v>Normal</v>
      </c>
    </row>
    <row r="77" spans="1:17" ht="13.2" x14ac:dyDescent="0.25">
      <c r="A77" s="2" t="s">
        <v>722</v>
      </c>
      <c r="B77" s="2" t="s">
        <v>521</v>
      </c>
      <c r="C77" s="4" t="s">
        <v>646</v>
      </c>
      <c r="D77" s="4" t="s">
        <v>646</v>
      </c>
      <c r="E77" s="4" t="s">
        <v>646</v>
      </c>
      <c r="F77" s="4" t="s">
        <v>646</v>
      </c>
      <c r="G77" s="4" t="s">
        <v>646</v>
      </c>
      <c r="H77" s="4" t="s">
        <v>646</v>
      </c>
      <c r="I77" s="4" t="s">
        <v>646</v>
      </c>
      <c r="J77" s="4" t="s">
        <v>646</v>
      </c>
      <c r="K77" s="4" t="s">
        <v>646</v>
      </c>
      <c r="L77" s="4" t="s">
        <v>646</v>
      </c>
      <c r="M77" s="4" t="s">
        <v>646</v>
      </c>
      <c r="N77" s="4" t="s">
        <v>646</v>
      </c>
      <c r="O77">
        <f t="shared" si="3"/>
        <v>12</v>
      </c>
      <c r="P77">
        <f t="shared" si="4"/>
        <v>0</v>
      </c>
      <c r="Q77" t="str">
        <f t="shared" si="5"/>
        <v>Normal</v>
      </c>
    </row>
    <row r="78" spans="1:17" ht="13.2" x14ac:dyDescent="0.25">
      <c r="A78" s="2" t="s">
        <v>723</v>
      </c>
      <c r="B78" s="2" t="s">
        <v>533</v>
      </c>
      <c r="C78" s="4" t="s">
        <v>646</v>
      </c>
      <c r="D78" s="4" t="s">
        <v>646</v>
      </c>
      <c r="E78" s="4" t="s">
        <v>646</v>
      </c>
      <c r="F78" s="4" t="s">
        <v>646</v>
      </c>
      <c r="G78" s="4" t="s">
        <v>646</v>
      </c>
      <c r="H78" s="4" t="s">
        <v>646</v>
      </c>
      <c r="I78" s="4" t="s">
        <v>646</v>
      </c>
      <c r="J78" s="4" t="s">
        <v>646</v>
      </c>
      <c r="K78" s="4" t="s">
        <v>646</v>
      </c>
      <c r="L78" s="4" t="s">
        <v>646</v>
      </c>
      <c r="M78" s="4" t="s">
        <v>646</v>
      </c>
      <c r="N78" s="4" t="s">
        <v>646</v>
      </c>
      <c r="O78">
        <f t="shared" si="3"/>
        <v>12</v>
      </c>
      <c r="P78">
        <f t="shared" si="4"/>
        <v>0</v>
      </c>
      <c r="Q78" t="str">
        <f t="shared" si="5"/>
        <v>Normal</v>
      </c>
    </row>
    <row r="79" spans="1:17" ht="13.2" x14ac:dyDescent="0.25">
      <c r="A79" s="2" t="s">
        <v>724</v>
      </c>
      <c r="B79" s="2" t="s">
        <v>390</v>
      </c>
      <c r="C79" s="4" t="s">
        <v>646</v>
      </c>
      <c r="D79" s="4" t="s">
        <v>646</v>
      </c>
      <c r="E79" s="4" t="s">
        <v>646</v>
      </c>
      <c r="F79" s="4" t="s">
        <v>646</v>
      </c>
      <c r="G79" s="4" t="s">
        <v>646</v>
      </c>
      <c r="H79" s="4" t="s">
        <v>646</v>
      </c>
      <c r="I79" s="4" t="s">
        <v>646</v>
      </c>
      <c r="J79" s="4" t="s">
        <v>646</v>
      </c>
      <c r="K79" s="4" t="s">
        <v>646</v>
      </c>
      <c r="L79" s="4" t="s">
        <v>646</v>
      </c>
      <c r="M79" s="4" t="s">
        <v>646</v>
      </c>
      <c r="N79" s="4" t="s">
        <v>646</v>
      </c>
      <c r="O79">
        <f t="shared" si="3"/>
        <v>12</v>
      </c>
      <c r="P79">
        <f t="shared" si="4"/>
        <v>0</v>
      </c>
      <c r="Q79" t="str">
        <f t="shared" si="5"/>
        <v>Normal</v>
      </c>
    </row>
    <row r="80" spans="1:17" ht="13.2" x14ac:dyDescent="0.25">
      <c r="A80" s="2" t="s">
        <v>725</v>
      </c>
      <c r="B80" s="2" t="s">
        <v>340</v>
      </c>
      <c r="C80" s="4" t="s">
        <v>646</v>
      </c>
      <c r="D80" s="4" t="s">
        <v>646</v>
      </c>
      <c r="E80" s="4" t="s">
        <v>646</v>
      </c>
      <c r="F80" s="4" t="s">
        <v>646</v>
      </c>
      <c r="G80" s="4" t="s">
        <v>646</v>
      </c>
      <c r="H80" s="4" t="s">
        <v>646</v>
      </c>
      <c r="I80" s="4" t="s">
        <v>646</v>
      </c>
      <c r="J80" s="4" t="s">
        <v>646</v>
      </c>
      <c r="K80" s="4" t="s">
        <v>646</v>
      </c>
      <c r="L80" s="4" t="s">
        <v>646</v>
      </c>
      <c r="M80" s="4" t="s">
        <v>646</v>
      </c>
      <c r="N80" s="4" t="s">
        <v>646</v>
      </c>
      <c r="O80">
        <f t="shared" si="3"/>
        <v>12</v>
      </c>
      <c r="P80">
        <f t="shared" si="4"/>
        <v>0</v>
      </c>
      <c r="Q80" t="str">
        <f t="shared" si="5"/>
        <v>Normal</v>
      </c>
    </row>
    <row r="81" spans="1:17" ht="13.2" x14ac:dyDescent="0.25">
      <c r="A81" s="2" t="s">
        <v>726</v>
      </c>
      <c r="B81" s="2" t="s">
        <v>509</v>
      </c>
      <c r="C81" s="4" t="s">
        <v>646</v>
      </c>
      <c r="D81" s="4" t="s">
        <v>646</v>
      </c>
      <c r="E81" s="4" t="s">
        <v>646</v>
      </c>
      <c r="F81" s="4" t="s">
        <v>646</v>
      </c>
      <c r="G81" s="4" t="s">
        <v>646</v>
      </c>
      <c r="H81" s="4" t="s">
        <v>646</v>
      </c>
      <c r="I81" s="4" t="s">
        <v>646</v>
      </c>
      <c r="J81" s="4" t="s">
        <v>646</v>
      </c>
      <c r="K81" s="4" t="s">
        <v>646</v>
      </c>
      <c r="L81" s="4" t="s">
        <v>646</v>
      </c>
      <c r="M81" s="4" t="s">
        <v>646</v>
      </c>
      <c r="N81" s="4" t="s">
        <v>646</v>
      </c>
      <c r="O81">
        <f t="shared" si="3"/>
        <v>12</v>
      </c>
      <c r="P81">
        <f t="shared" si="4"/>
        <v>0</v>
      </c>
      <c r="Q81" t="str">
        <f t="shared" si="5"/>
        <v>Normal</v>
      </c>
    </row>
    <row r="82" spans="1:17" ht="13.2" x14ac:dyDescent="0.25">
      <c r="A82" s="2" t="s">
        <v>727</v>
      </c>
      <c r="B82" s="2" t="s">
        <v>499</v>
      </c>
      <c r="C82" s="4" t="s">
        <v>646</v>
      </c>
      <c r="D82" s="4" t="s">
        <v>646</v>
      </c>
      <c r="E82" s="4" t="s">
        <v>646</v>
      </c>
      <c r="F82" s="4" t="s">
        <v>646</v>
      </c>
      <c r="G82" s="4" t="s">
        <v>646</v>
      </c>
      <c r="H82" s="4" t="s">
        <v>646</v>
      </c>
      <c r="I82" s="4" t="s">
        <v>646</v>
      </c>
      <c r="J82" s="4" t="s">
        <v>646</v>
      </c>
      <c r="K82" s="4" t="s">
        <v>646</v>
      </c>
      <c r="L82" s="4" t="s">
        <v>646</v>
      </c>
      <c r="M82" s="4" t="s">
        <v>646</v>
      </c>
      <c r="N82" s="4" t="s">
        <v>646</v>
      </c>
      <c r="O82">
        <f t="shared" si="3"/>
        <v>12</v>
      </c>
      <c r="P82">
        <f t="shared" si="4"/>
        <v>0</v>
      </c>
      <c r="Q82" t="str">
        <f t="shared" si="5"/>
        <v>Normal</v>
      </c>
    </row>
    <row r="83" spans="1:17" ht="13.2" x14ac:dyDescent="0.25">
      <c r="A83" s="2" t="s">
        <v>728</v>
      </c>
      <c r="B83" s="2" t="s">
        <v>450</v>
      </c>
      <c r="C83" s="4" t="s">
        <v>646</v>
      </c>
      <c r="D83" s="4" t="s">
        <v>646</v>
      </c>
      <c r="E83" s="4" t="s">
        <v>646</v>
      </c>
      <c r="F83" s="4" t="s">
        <v>646</v>
      </c>
      <c r="G83" s="4" t="s">
        <v>646</v>
      </c>
      <c r="H83" s="4" t="s">
        <v>646</v>
      </c>
      <c r="I83" s="4" t="s">
        <v>646</v>
      </c>
      <c r="J83" s="4" t="s">
        <v>646</v>
      </c>
      <c r="K83" s="4" t="s">
        <v>646</v>
      </c>
      <c r="L83" s="4" t="s">
        <v>646</v>
      </c>
      <c r="M83" s="4" t="s">
        <v>646</v>
      </c>
      <c r="N83" s="4" t="s">
        <v>646</v>
      </c>
      <c r="O83">
        <f t="shared" si="3"/>
        <v>12</v>
      </c>
      <c r="P83">
        <f t="shared" si="4"/>
        <v>0</v>
      </c>
      <c r="Q83" t="str">
        <f t="shared" si="5"/>
        <v>Normal</v>
      </c>
    </row>
    <row r="84" spans="1:17" ht="13.2" x14ac:dyDescent="0.25">
      <c r="A84" s="2" t="s">
        <v>729</v>
      </c>
      <c r="B84" s="2" t="s">
        <v>196</v>
      </c>
      <c r="C84" s="4" t="s">
        <v>646</v>
      </c>
      <c r="D84" s="4" t="s">
        <v>646</v>
      </c>
      <c r="E84" s="4" t="s">
        <v>646</v>
      </c>
      <c r="F84" s="4" t="s">
        <v>646</v>
      </c>
      <c r="G84" s="4" t="s">
        <v>646</v>
      </c>
      <c r="H84" s="4" t="s">
        <v>646</v>
      </c>
      <c r="I84" s="4" t="s">
        <v>646</v>
      </c>
      <c r="J84" s="4" t="s">
        <v>646</v>
      </c>
      <c r="K84" s="4" t="s">
        <v>646</v>
      </c>
      <c r="L84" s="4" t="s">
        <v>646</v>
      </c>
      <c r="M84" s="4" t="s">
        <v>646</v>
      </c>
      <c r="N84" s="4" t="s">
        <v>646</v>
      </c>
      <c r="O84">
        <f t="shared" si="3"/>
        <v>12</v>
      </c>
      <c r="P84">
        <f t="shared" si="4"/>
        <v>0</v>
      </c>
      <c r="Q84" t="str">
        <f t="shared" si="5"/>
        <v>Normal</v>
      </c>
    </row>
    <row r="85" spans="1:17" ht="13.2" x14ac:dyDescent="0.25">
      <c r="A85" s="2" t="s">
        <v>730</v>
      </c>
      <c r="B85" s="2" t="s">
        <v>243</v>
      </c>
      <c r="C85" s="4" t="s">
        <v>646</v>
      </c>
      <c r="D85" s="4" t="s">
        <v>646</v>
      </c>
      <c r="E85" s="4" t="s">
        <v>646</v>
      </c>
      <c r="F85" s="4" t="s">
        <v>646</v>
      </c>
      <c r="G85" s="4" t="s">
        <v>646</v>
      </c>
      <c r="H85" s="4" t="s">
        <v>646</v>
      </c>
      <c r="I85" s="4" t="s">
        <v>646</v>
      </c>
      <c r="J85" s="4" t="s">
        <v>646</v>
      </c>
      <c r="K85" s="4" t="s">
        <v>646</v>
      </c>
      <c r="L85" s="4" t="s">
        <v>646</v>
      </c>
      <c r="M85" s="4" t="s">
        <v>646</v>
      </c>
      <c r="N85" s="4" t="s">
        <v>646</v>
      </c>
      <c r="O85">
        <f t="shared" si="3"/>
        <v>12</v>
      </c>
      <c r="P85">
        <f t="shared" si="4"/>
        <v>0</v>
      </c>
      <c r="Q85" t="str">
        <f t="shared" si="5"/>
        <v>Normal</v>
      </c>
    </row>
    <row r="86" spans="1:17" ht="13.2" x14ac:dyDescent="0.25">
      <c r="A86" s="2" t="s">
        <v>731</v>
      </c>
      <c r="B86" s="2" t="s">
        <v>504</v>
      </c>
      <c r="C86" s="4" t="s">
        <v>646</v>
      </c>
      <c r="D86" s="4" t="s">
        <v>646</v>
      </c>
      <c r="E86" s="4" t="s">
        <v>646</v>
      </c>
      <c r="F86" s="4" t="s">
        <v>646</v>
      </c>
      <c r="G86" s="4" t="s">
        <v>646</v>
      </c>
      <c r="H86" s="4" t="s">
        <v>646</v>
      </c>
      <c r="I86" s="4" t="s">
        <v>646</v>
      </c>
      <c r="J86" s="4" t="s">
        <v>646</v>
      </c>
      <c r="K86" s="4" t="s">
        <v>646</v>
      </c>
      <c r="L86" s="4" t="s">
        <v>646</v>
      </c>
      <c r="M86" s="4" t="s">
        <v>646</v>
      </c>
      <c r="N86" s="4" t="s">
        <v>646</v>
      </c>
      <c r="O86">
        <f t="shared" si="3"/>
        <v>12</v>
      </c>
      <c r="P86">
        <f t="shared" si="4"/>
        <v>0</v>
      </c>
      <c r="Q86" t="str">
        <f t="shared" si="5"/>
        <v>Normal</v>
      </c>
    </row>
    <row r="87" spans="1:17" ht="13.2" x14ac:dyDescent="0.25">
      <c r="A87" s="2" t="s">
        <v>732</v>
      </c>
      <c r="B87" s="2" t="s">
        <v>488</v>
      </c>
      <c r="C87" s="4" t="s">
        <v>646</v>
      </c>
      <c r="D87" s="4" t="s">
        <v>646</v>
      </c>
      <c r="E87" s="4" t="s">
        <v>646</v>
      </c>
      <c r="F87" s="4" t="s">
        <v>646</v>
      </c>
      <c r="G87" s="4" t="s">
        <v>646</v>
      </c>
      <c r="H87" s="4" t="s">
        <v>646</v>
      </c>
      <c r="I87" s="4" t="s">
        <v>646</v>
      </c>
      <c r="J87" s="4" t="s">
        <v>646</v>
      </c>
      <c r="K87" s="4" t="s">
        <v>646</v>
      </c>
      <c r="L87" s="4" t="s">
        <v>646</v>
      </c>
      <c r="M87" s="4" t="s">
        <v>646</v>
      </c>
      <c r="N87" s="4" t="s">
        <v>646</v>
      </c>
      <c r="O87">
        <f t="shared" si="3"/>
        <v>12</v>
      </c>
      <c r="P87">
        <f t="shared" si="4"/>
        <v>0</v>
      </c>
      <c r="Q87" t="str">
        <f t="shared" si="5"/>
        <v>Normal</v>
      </c>
    </row>
    <row r="88" spans="1:17" ht="13.2" x14ac:dyDescent="0.25">
      <c r="A88" s="2" t="s">
        <v>733</v>
      </c>
      <c r="B88" s="2" t="s">
        <v>482</v>
      </c>
      <c r="C88" s="4" t="s">
        <v>646</v>
      </c>
      <c r="D88" s="4" t="s">
        <v>646</v>
      </c>
      <c r="E88" s="4" t="s">
        <v>646</v>
      </c>
      <c r="F88" s="4" t="s">
        <v>646</v>
      </c>
      <c r="G88" s="4" t="s">
        <v>646</v>
      </c>
      <c r="H88" s="4" t="s">
        <v>646</v>
      </c>
      <c r="I88" s="4" t="s">
        <v>646</v>
      </c>
      <c r="J88" s="4" t="s">
        <v>646</v>
      </c>
      <c r="K88" s="4" t="s">
        <v>646</v>
      </c>
      <c r="L88" s="4" t="s">
        <v>646</v>
      </c>
      <c r="M88" s="4" t="s">
        <v>646</v>
      </c>
      <c r="N88" s="4" t="s">
        <v>646</v>
      </c>
      <c r="O88">
        <f t="shared" si="3"/>
        <v>12</v>
      </c>
      <c r="P88">
        <f t="shared" si="4"/>
        <v>0</v>
      </c>
      <c r="Q88" t="str">
        <f t="shared" si="5"/>
        <v>Normal</v>
      </c>
    </row>
    <row r="89" spans="1:17" ht="13.2" x14ac:dyDescent="0.25">
      <c r="A89" s="2" t="s">
        <v>734</v>
      </c>
      <c r="B89" s="2" t="s">
        <v>474</v>
      </c>
      <c r="C89" s="4" t="s">
        <v>646</v>
      </c>
      <c r="D89" s="4" t="s">
        <v>646</v>
      </c>
      <c r="E89" s="4" t="s">
        <v>646</v>
      </c>
      <c r="F89" s="4" t="s">
        <v>646</v>
      </c>
      <c r="G89" s="4" t="s">
        <v>646</v>
      </c>
      <c r="H89" s="4" t="s">
        <v>646</v>
      </c>
      <c r="I89" s="4" t="s">
        <v>646</v>
      </c>
      <c r="J89" s="4" t="s">
        <v>646</v>
      </c>
      <c r="K89" s="4" t="s">
        <v>646</v>
      </c>
      <c r="L89" s="4" t="s">
        <v>646</v>
      </c>
      <c r="M89" s="4" t="s">
        <v>646</v>
      </c>
      <c r="N89" s="4" t="s">
        <v>646</v>
      </c>
      <c r="O89">
        <f t="shared" si="3"/>
        <v>12</v>
      </c>
      <c r="P89">
        <f t="shared" si="4"/>
        <v>0</v>
      </c>
      <c r="Q89" t="str">
        <f t="shared" si="5"/>
        <v>Normal</v>
      </c>
    </row>
    <row r="90" spans="1:17" ht="13.2" x14ac:dyDescent="0.25">
      <c r="A90" s="2" t="s">
        <v>735</v>
      </c>
      <c r="B90" s="2" t="s">
        <v>471</v>
      </c>
      <c r="C90" s="4" t="s">
        <v>646</v>
      </c>
      <c r="D90" s="4" t="s">
        <v>646</v>
      </c>
      <c r="E90" s="4" t="s">
        <v>646</v>
      </c>
      <c r="F90" s="4" t="s">
        <v>646</v>
      </c>
      <c r="G90" s="4" t="s">
        <v>646</v>
      </c>
      <c r="H90" s="4" t="s">
        <v>646</v>
      </c>
      <c r="I90" s="4" t="s">
        <v>646</v>
      </c>
      <c r="J90" s="4" t="s">
        <v>646</v>
      </c>
      <c r="K90" s="4" t="s">
        <v>646</v>
      </c>
      <c r="L90" s="4" t="s">
        <v>646</v>
      </c>
      <c r="M90" s="4" t="s">
        <v>646</v>
      </c>
      <c r="N90" s="4" t="s">
        <v>646</v>
      </c>
      <c r="O90">
        <f t="shared" si="3"/>
        <v>12</v>
      </c>
      <c r="P90">
        <f t="shared" si="4"/>
        <v>0</v>
      </c>
      <c r="Q90" t="str">
        <f t="shared" si="5"/>
        <v>Normal</v>
      </c>
    </row>
    <row r="91" spans="1:17" ht="13.2" x14ac:dyDescent="0.25">
      <c r="A91" s="2" t="s">
        <v>736</v>
      </c>
      <c r="B91" s="2" t="s">
        <v>468</v>
      </c>
      <c r="C91" s="4" t="s">
        <v>646</v>
      </c>
      <c r="D91" s="4" t="s">
        <v>646</v>
      </c>
      <c r="E91" s="4" t="s">
        <v>646</v>
      </c>
      <c r="F91" s="4" t="s">
        <v>646</v>
      </c>
      <c r="G91" s="4" t="s">
        <v>646</v>
      </c>
      <c r="H91" s="4" t="s">
        <v>646</v>
      </c>
      <c r="I91" s="4" t="s">
        <v>646</v>
      </c>
      <c r="J91" s="4" t="s">
        <v>646</v>
      </c>
      <c r="K91" s="4" t="s">
        <v>646</v>
      </c>
      <c r="L91" s="4" t="s">
        <v>646</v>
      </c>
      <c r="M91" s="4" t="s">
        <v>646</v>
      </c>
      <c r="N91" s="4" t="s">
        <v>646</v>
      </c>
      <c r="O91">
        <f t="shared" si="3"/>
        <v>12</v>
      </c>
      <c r="P91">
        <f t="shared" si="4"/>
        <v>0</v>
      </c>
      <c r="Q91" t="str">
        <f t="shared" si="5"/>
        <v>Normal</v>
      </c>
    </row>
    <row r="92" spans="1:17" ht="13.2" x14ac:dyDescent="0.25">
      <c r="A92" s="2" t="s">
        <v>737</v>
      </c>
      <c r="B92" s="2" t="s">
        <v>462</v>
      </c>
      <c r="C92" s="4" t="s">
        <v>646</v>
      </c>
      <c r="D92" s="4" t="s">
        <v>646</v>
      </c>
      <c r="E92" s="4" t="s">
        <v>646</v>
      </c>
      <c r="F92" s="4" t="s">
        <v>646</v>
      </c>
      <c r="G92" s="4" t="s">
        <v>646</v>
      </c>
      <c r="H92" s="4" t="s">
        <v>646</v>
      </c>
      <c r="I92" s="4" t="s">
        <v>646</v>
      </c>
      <c r="J92" s="4" t="s">
        <v>646</v>
      </c>
      <c r="K92" s="4" t="s">
        <v>646</v>
      </c>
      <c r="L92" s="4" t="s">
        <v>646</v>
      </c>
      <c r="M92" s="4" t="s">
        <v>646</v>
      </c>
      <c r="N92" s="4" t="s">
        <v>646</v>
      </c>
      <c r="O92">
        <f t="shared" si="3"/>
        <v>12</v>
      </c>
      <c r="P92">
        <f t="shared" si="4"/>
        <v>0</v>
      </c>
      <c r="Q92" t="str">
        <f t="shared" si="5"/>
        <v>Normal</v>
      </c>
    </row>
    <row r="93" spans="1:17" ht="13.2" x14ac:dyDescent="0.25">
      <c r="A93" s="2" t="s">
        <v>738</v>
      </c>
      <c r="B93" s="2" t="s">
        <v>122</v>
      </c>
      <c r="C93" s="4" t="s">
        <v>646</v>
      </c>
      <c r="D93" s="4" t="s">
        <v>646</v>
      </c>
      <c r="E93" s="4" t="s">
        <v>646</v>
      </c>
      <c r="F93" s="4" t="s">
        <v>646</v>
      </c>
      <c r="G93" s="4" t="s">
        <v>646</v>
      </c>
      <c r="H93" s="4" t="s">
        <v>646</v>
      </c>
      <c r="I93" s="4" t="s">
        <v>646</v>
      </c>
      <c r="J93" s="4" t="s">
        <v>646</v>
      </c>
      <c r="K93" s="4" t="s">
        <v>646</v>
      </c>
      <c r="L93" s="4" t="s">
        <v>646</v>
      </c>
      <c r="M93" s="4" t="s">
        <v>646</v>
      </c>
      <c r="N93" s="4" t="s">
        <v>646</v>
      </c>
      <c r="O93">
        <f t="shared" si="3"/>
        <v>12</v>
      </c>
      <c r="P93">
        <f t="shared" si="4"/>
        <v>0</v>
      </c>
      <c r="Q93" t="str">
        <f t="shared" si="5"/>
        <v>Normal</v>
      </c>
    </row>
    <row r="94" spans="1:17" ht="13.2" x14ac:dyDescent="0.25">
      <c r="A94" s="2" t="s">
        <v>739</v>
      </c>
      <c r="B94" s="2" t="s">
        <v>456</v>
      </c>
      <c r="C94" s="4" t="s">
        <v>646</v>
      </c>
      <c r="D94" s="4" t="s">
        <v>646</v>
      </c>
      <c r="E94" s="4" t="s">
        <v>646</v>
      </c>
      <c r="F94" s="4" t="s">
        <v>646</v>
      </c>
      <c r="G94" s="4" t="s">
        <v>646</v>
      </c>
      <c r="H94" s="4" t="s">
        <v>646</v>
      </c>
      <c r="I94" s="4" t="s">
        <v>646</v>
      </c>
      <c r="J94" s="4" t="s">
        <v>646</v>
      </c>
      <c r="K94" s="4" t="s">
        <v>646</v>
      </c>
      <c r="L94" s="4" t="s">
        <v>646</v>
      </c>
      <c r="M94" s="4" t="s">
        <v>646</v>
      </c>
      <c r="N94" s="4" t="s">
        <v>646</v>
      </c>
      <c r="O94">
        <f t="shared" si="3"/>
        <v>12</v>
      </c>
      <c r="P94">
        <f t="shared" si="4"/>
        <v>0</v>
      </c>
      <c r="Q94" t="str">
        <f t="shared" si="5"/>
        <v>Normal</v>
      </c>
    </row>
    <row r="95" spans="1:17" ht="13.2" x14ac:dyDescent="0.25">
      <c r="A95" s="2" t="s">
        <v>740</v>
      </c>
      <c r="B95" s="2" t="s">
        <v>190</v>
      </c>
      <c r="C95" s="4" t="s">
        <v>646</v>
      </c>
      <c r="D95" s="4" t="s">
        <v>646</v>
      </c>
      <c r="E95" s="4" t="s">
        <v>646</v>
      </c>
      <c r="F95" s="4" t="s">
        <v>646</v>
      </c>
      <c r="G95" s="4" t="s">
        <v>646</v>
      </c>
      <c r="H95" s="4" t="s">
        <v>646</v>
      </c>
      <c r="I95" s="4" t="s">
        <v>646</v>
      </c>
      <c r="J95" s="4" t="s">
        <v>646</v>
      </c>
      <c r="K95" s="4" t="s">
        <v>646</v>
      </c>
      <c r="L95" s="4" t="s">
        <v>646</v>
      </c>
      <c r="M95" s="4" t="s">
        <v>646</v>
      </c>
      <c r="N95" s="4" t="s">
        <v>646</v>
      </c>
      <c r="O95">
        <f t="shared" si="3"/>
        <v>12</v>
      </c>
      <c r="P95">
        <f t="shared" si="4"/>
        <v>0</v>
      </c>
      <c r="Q95" t="str">
        <f t="shared" si="5"/>
        <v>Normal</v>
      </c>
    </row>
    <row r="96" spans="1:17" ht="13.2" x14ac:dyDescent="0.25">
      <c r="A96" s="2" t="s">
        <v>741</v>
      </c>
      <c r="B96" s="2" t="s">
        <v>445</v>
      </c>
      <c r="C96" s="4" t="s">
        <v>646</v>
      </c>
      <c r="D96" s="4" t="s">
        <v>646</v>
      </c>
      <c r="E96" s="4" t="s">
        <v>646</v>
      </c>
      <c r="F96" s="4" t="s">
        <v>646</v>
      </c>
      <c r="G96" s="4" t="s">
        <v>646</v>
      </c>
      <c r="H96" s="4" t="s">
        <v>646</v>
      </c>
      <c r="I96" s="4" t="s">
        <v>646</v>
      </c>
      <c r="J96" s="4" t="s">
        <v>646</v>
      </c>
      <c r="K96" s="4" t="s">
        <v>646</v>
      </c>
      <c r="L96" s="4" t="s">
        <v>646</v>
      </c>
      <c r="M96" s="4" t="s">
        <v>646</v>
      </c>
      <c r="N96" s="4" t="s">
        <v>646</v>
      </c>
      <c r="O96">
        <f t="shared" si="3"/>
        <v>12</v>
      </c>
      <c r="P96">
        <f t="shared" si="4"/>
        <v>0</v>
      </c>
      <c r="Q96" t="str">
        <f t="shared" si="5"/>
        <v>Normal</v>
      </c>
    </row>
    <row r="97" spans="1:17" ht="13.2" x14ac:dyDescent="0.25">
      <c r="A97" s="2" t="s">
        <v>742</v>
      </c>
      <c r="B97" s="2" t="s">
        <v>564</v>
      </c>
      <c r="C97" s="4" t="s">
        <v>646</v>
      </c>
      <c r="D97" s="4" t="s">
        <v>646</v>
      </c>
      <c r="E97" s="4" t="s">
        <v>646</v>
      </c>
      <c r="F97" s="4" t="s">
        <v>646</v>
      </c>
      <c r="G97" s="4" t="s">
        <v>646</v>
      </c>
      <c r="H97" s="4" t="s">
        <v>646</v>
      </c>
      <c r="I97" s="4" t="s">
        <v>646</v>
      </c>
      <c r="J97" s="4" t="s">
        <v>646</v>
      </c>
      <c r="K97" s="4" t="s">
        <v>646</v>
      </c>
      <c r="L97" s="4" t="s">
        <v>646</v>
      </c>
      <c r="M97" s="4" t="s">
        <v>646</v>
      </c>
      <c r="N97" s="4" t="s">
        <v>646</v>
      </c>
      <c r="O97">
        <f t="shared" si="3"/>
        <v>12</v>
      </c>
      <c r="P97">
        <f t="shared" si="4"/>
        <v>0</v>
      </c>
      <c r="Q97" t="str">
        <f t="shared" si="5"/>
        <v>Normal</v>
      </c>
    </row>
    <row r="98" spans="1:17" ht="13.2" x14ac:dyDescent="0.25">
      <c r="A98" s="2" t="s">
        <v>743</v>
      </c>
      <c r="B98" s="2" t="s">
        <v>134</v>
      </c>
      <c r="C98" s="4" t="s">
        <v>646</v>
      </c>
      <c r="D98" s="4" t="s">
        <v>646</v>
      </c>
      <c r="E98" s="4" t="s">
        <v>646</v>
      </c>
      <c r="F98" s="4" t="s">
        <v>646</v>
      </c>
      <c r="G98" s="4" t="s">
        <v>646</v>
      </c>
      <c r="H98" s="4" t="s">
        <v>646</v>
      </c>
      <c r="I98" s="4" t="s">
        <v>646</v>
      </c>
      <c r="J98" s="4" t="s">
        <v>646</v>
      </c>
      <c r="K98" s="4" t="s">
        <v>646</v>
      </c>
      <c r="L98" s="4" t="s">
        <v>646</v>
      </c>
      <c r="M98" s="4" t="s">
        <v>646</v>
      </c>
      <c r="N98" s="4" t="s">
        <v>646</v>
      </c>
      <c r="O98">
        <f t="shared" si="3"/>
        <v>12</v>
      </c>
      <c r="P98">
        <f t="shared" si="4"/>
        <v>0</v>
      </c>
      <c r="Q98" t="str">
        <f t="shared" si="5"/>
        <v>Normal</v>
      </c>
    </row>
    <row r="99" spans="1:17" ht="13.2" x14ac:dyDescent="0.25">
      <c r="A99" s="2" t="s">
        <v>744</v>
      </c>
      <c r="B99" s="2" t="s">
        <v>442</v>
      </c>
      <c r="C99" s="4" t="s">
        <v>646</v>
      </c>
      <c r="D99" s="4" t="s">
        <v>646</v>
      </c>
      <c r="E99" s="4" t="s">
        <v>646</v>
      </c>
      <c r="F99" s="4" t="s">
        <v>646</v>
      </c>
      <c r="G99" s="4" t="s">
        <v>646</v>
      </c>
      <c r="H99" s="4" t="s">
        <v>646</v>
      </c>
      <c r="I99" s="4" t="s">
        <v>646</v>
      </c>
      <c r="J99" s="4" t="s">
        <v>646</v>
      </c>
      <c r="K99" s="4" t="s">
        <v>646</v>
      </c>
      <c r="L99" s="4" t="s">
        <v>646</v>
      </c>
      <c r="M99" s="4" t="s">
        <v>646</v>
      </c>
      <c r="N99" s="4" t="s">
        <v>646</v>
      </c>
      <c r="O99">
        <f t="shared" si="3"/>
        <v>12</v>
      </c>
      <c r="P99">
        <f t="shared" si="4"/>
        <v>0</v>
      </c>
      <c r="Q99" t="str">
        <f t="shared" si="5"/>
        <v>Normal</v>
      </c>
    </row>
    <row r="100" spans="1:17" ht="13.2" x14ac:dyDescent="0.25">
      <c r="A100" s="2" t="s">
        <v>745</v>
      </c>
      <c r="B100" s="2" t="s">
        <v>399</v>
      </c>
      <c r="C100" s="4" t="s">
        <v>646</v>
      </c>
      <c r="D100" s="4" t="s">
        <v>646</v>
      </c>
      <c r="E100" s="4" t="s">
        <v>646</v>
      </c>
      <c r="F100" s="4" t="s">
        <v>646</v>
      </c>
      <c r="G100" s="4" t="s">
        <v>646</v>
      </c>
      <c r="H100" s="4" t="s">
        <v>646</v>
      </c>
      <c r="I100" s="4" t="s">
        <v>646</v>
      </c>
      <c r="J100" s="4" t="s">
        <v>646</v>
      </c>
      <c r="K100" s="4" t="s">
        <v>646</v>
      </c>
      <c r="L100" s="4" t="s">
        <v>646</v>
      </c>
      <c r="M100" s="4" t="s">
        <v>646</v>
      </c>
      <c r="N100" s="4" t="s">
        <v>646</v>
      </c>
      <c r="O100">
        <f t="shared" si="3"/>
        <v>12</v>
      </c>
      <c r="P100">
        <f t="shared" si="4"/>
        <v>0</v>
      </c>
      <c r="Q100" t="str">
        <f t="shared" si="5"/>
        <v>Normal</v>
      </c>
    </row>
    <row r="101" spans="1:17" ht="13.2" x14ac:dyDescent="0.25">
      <c r="A101" s="2" t="s">
        <v>746</v>
      </c>
      <c r="B101" s="2" t="s">
        <v>436</v>
      </c>
      <c r="C101" s="4" t="s">
        <v>646</v>
      </c>
      <c r="D101" s="4" t="s">
        <v>646</v>
      </c>
      <c r="E101" s="4" t="s">
        <v>646</v>
      </c>
      <c r="F101" s="4" t="s">
        <v>646</v>
      </c>
      <c r="G101" s="4" t="s">
        <v>646</v>
      </c>
      <c r="H101" s="4" t="s">
        <v>646</v>
      </c>
      <c r="I101" s="4" t="s">
        <v>646</v>
      </c>
      <c r="J101" s="4" t="s">
        <v>646</v>
      </c>
      <c r="K101" s="4" t="s">
        <v>646</v>
      </c>
      <c r="L101" s="4" t="s">
        <v>646</v>
      </c>
      <c r="M101" s="4" t="s">
        <v>646</v>
      </c>
      <c r="N101" s="4" t="s">
        <v>646</v>
      </c>
      <c r="O101">
        <f t="shared" si="3"/>
        <v>12</v>
      </c>
      <c r="P101">
        <f t="shared" si="4"/>
        <v>0</v>
      </c>
      <c r="Q101" t="str">
        <f t="shared" si="5"/>
        <v>Normal</v>
      </c>
    </row>
    <row r="102" spans="1:17" ht="13.2" x14ac:dyDescent="0.25">
      <c r="A102" s="2" t="s">
        <v>747</v>
      </c>
      <c r="B102" s="2" t="s">
        <v>425</v>
      </c>
      <c r="C102" s="4" t="s">
        <v>646</v>
      </c>
      <c r="D102" s="4" t="s">
        <v>646</v>
      </c>
      <c r="E102" s="4" t="s">
        <v>646</v>
      </c>
      <c r="F102" s="4" t="s">
        <v>646</v>
      </c>
      <c r="G102" s="4" t="s">
        <v>646</v>
      </c>
      <c r="H102" s="4" t="s">
        <v>646</v>
      </c>
      <c r="I102" s="4" t="s">
        <v>646</v>
      </c>
      <c r="J102" s="4" t="s">
        <v>646</v>
      </c>
      <c r="K102" s="4" t="s">
        <v>646</v>
      </c>
      <c r="L102" s="4" t="s">
        <v>646</v>
      </c>
      <c r="M102" s="4" t="s">
        <v>646</v>
      </c>
      <c r="N102" s="4" t="s">
        <v>646</v>
      </c>
      <c r="O102">
        <f t="shared" si="3"/>
        <v>12</v>
      </c>
      <c r="P102">
        <f t="shared" si="4"/>
        <v>0</v>
      </c>
      <c r="Q102" t="str">
        <f t="shared" si="5"/>
        <v>Normal</v>
      </c>
    </row>
    <row r="103" spans="1:17" ht="13.2" x14ac:dyDescent="0.25">
      <c r="A103" s="2" t="s">
        <v>748</v>
      </c>
      <c r="B103" s="2" t="s">
        <v>422</v>
      </c>
      <c r="C103" s="4" t="s">
        <v>646</v>
      </c>
      <c r="D103" s="4" t="s">
        <v>646</v>
      </c>
      <c r="E103" s="4" t="s">
        <v>646</v>
      </c>
      <c r="F103" s="4" t="s">
        <v>646</v>
      </c>
      <c r="G103" s="4" t="s">
        <v>646</v>
      </c>
      <c r="H103" s="4" t="s">
        <v>646</v>
      </c>
      <c r="I103" s="4" t="s">
        <v>646</v>
      </c>
      <c r="J103" s="4" t="s">
        <v>646</v>
      </c>
      <c r="K103" s="4" t="s">
        <v>646</v>
      </c>
      <c r="L103" s="4" t="s">
        <v>646</v>
      </c>
      <c r="M103" s="4" t="s">
        <v>646</v>
      </c>
      <c r="N103" s="4" t="s">
        <v>646</v>
      </c>
      <c r="O103">
        <f t="shared" si="3"/>
        <v>12</v>
      </c>
      <c r="P103">
        <f t="shared" si="4"/>
        <v>0</v>
      </c>
      <c r="Q103" t="str">
        <f t="shared" si="5"/>
        <v>Normal</v>
      </c>
    </row>
    <row r="104" spans="1:17" ht="13.2" x14ac:dyDescent="0.25">
      <c r="A104" s="2" t="s">
        <v>749</v>
      </c>
      <c r="B104" s="2" t="s">
        <v>419</v>
      </c>
      <c r="C104" s="4" t="s">
        <v>646</v>
      </c>
      <c r="D104" s="4" t="s">
        <v>646</v>
      </c>
      <c r="E104" s="4" t="s">
        <v>646</v>
      </c>
      <c r="F104" s="4" t="s">
        <v>646</v>
      </c>
      <c r="G104" s="4" t="s">
        <v>646</v>
      </c>
      <c r="H104" s="4" t="s">
        <v>646</v>
      </c>
      <c r="I104" s="4" t="s">
        <v>646</v>
      </c>
      <c r="J104" s="4" t="s">
        <v>646</v>
      </c>
      <c r="K104" s="4" t="s">
        <v>646</v>
      </c>
      <c r="L104" s="4" t="s">
        <v>646</v>
      </c>
      <c r="M104" s="4" t="s">
        <v>646</v>
      </c>
      <c r="N104" s="4" t="s">
        <v>646</v>
      </c>
      <c r="O104">
        <f t="shared" si="3"/>
        <v>12</v>
      </c>
      <c r="P104">
        <f t="shared" si="4"/>
        <v>0</v>
      </c>
      <c r="Q104" t="str">
        <f t="shared" si="5"/>
        <v>Normal</v>
      </c>
    </row>
    <row r="105" spans="1:17" ht="13.2" x14ac:dyDescent="0.25">
      <c r="A105" s="2" t="s">
        <v>750</v>
      </c>
      <c r="B105" s="2" t="s">
        <v>496</v>
      </c>
      <c r="C105" s="4" t="s">
        <v>646</v>
      </c>
      <c r="D105" s="4" t="s">
        <v>646</v>
      </c>
      <c r="E105" s="4" t="s">
        <v>646</v>
      </c>
      <c r="F105" s="4" t="s">
        <v>646</v>
      </c>
      <c r="G105" s="4" t="s">
        <v>646</v>
      </c>
      <c r="H105" s="4" t="s">
        <v>646</v>
      </c>
      <c r="I105" s="4" t="s">
        <v>646</v>
      </c>
      <c r="J105" s="4" t="s">
        <v>646</v>
      </c>
      <c r="K105" s="4" t="s">
        <v>646</v>
      </c>
      <c r="L105" s="4" t="s">
        <v>646</v>
      </c>
      <c r="M105" s="4" t="s">
        <v>646</v>
      </c>
      <c r="N105" s="4" t="s">
        <v>646</v>
      </c>
      <c r="O105">
        <f t="shared" si="3"/>
        <v>12</v>
      </c>
      <c r="P105">
        <f t="shared" si="4"/>
        <v>0</v>
      </c>
      <c r="Q105" t="str">
        <f t="shared" si="5"/>
        <v>Normal</v>
      </c>
    </row>
    <row r="106" spans="1:17" ht="13.2" x14ac:dyDescent="0.25">
      <c r="A106" s="2" t="s">
        <v>751</v>
      </c>
      <c r="B106" s="2" t="s">
        <v>155</v>
      </c>
      <c r="C106" s="4" t="s">
        <v>646</v>
      </c>
      <c r="D106" s="4" t="s">
        <v>646</v>
      </c>
      <c r="E106" s="4" t="s">
        <v>646</v>
      </c>
      <c r="F106" s="4" t="s">
        <v>646</v>
      </c>
      <c r="G106" s="4" t="s">
        <v>646</v>
      </c>
      <c r="H106" s="4" t="s">
        <v>646</v>
      </c>
      <c r="I106" s="4" t="s">
        <v>646</v>
      </c>
      <c r="J106" s="4" t="s">
        <v>646</v>
      </c>
      <c r="K106" s="4" t="s">
        <v>646</v>
      </c>
      <c r="L106" s="4" t="s">
        <v>646</v>
      </c>
      <c r="M106" s="4" t="s">
        <v>646</v>
      </c>
      <c r="N106" s="4" t="s">
        <v>646</v>
      </c>
      <c r="O106">
        <f t="shared" si="3"/>
        <v>12</v>
      </c>
      <c r="P106">
        <f t="shared" si="4"/>
        <v>0</v>
      </c>
      <c r="Q106" t="str">
        <f t="shared" si="5"/>
        <v>Normal</v>
      </c>
    </row>
    <row r="107" spans="1:17" ht="13.2" x14ac:dyDescent="0.25">
      <c r="A107" s="2" t="s">
        <v>752</v>
      </c>
      <c r="B107" s="2" t="s">
        <v>416</v>
      </c>
      <c r="C107" s="4" t="s">
        <v>646</v>
      </c>
      <c r="D107" s="4" t="s">
        <v>646</v>
      </c>
      <c r="E107" s="4" t="s">
        <v>646</v>
      </c>
      <c r="F107" s="4" t="s">
        <v>646</v>
      </c>
      <c r="G107" s="4" t="s">
        <v>646</v>
      </c>
      <c r="H107" s="4" t="s">
        <v>646</v>
      </c>
      <c r="I107" s="4" t="s">
        <v>646</v>
      </c>
      <c r="J107" s="4" t="s">
        <v>646</v>
      </c>
      <c r="K107" s="4" t="s">
        <v>646</v>
      </c>
      <c r="L107" s="4" t="s">
        <v>646</v>
      </c>
      <c r="M107" s="4" t="s">
        <v>646</v>
      </c>
      <c r="N107" s="4" t="s">
        <v>646</v>
      </c>
      <c r="O107">
        <f t="shared" si="3"/>
        <v>12</v>
      </c>
      <c r="P107">
        <f t="shared" si="4"/>
        <v>0</v>
      </c>
      <c r="Q107" t="str">
        <f t="shared" si="5"/>
        <v>Normal</v>
      </c>
    </row>
    <row r="108" spans="1:17" ht="13.2" x14ac:dyDescent="0.25">
      <c r="A108" s="2" t="s">
        <v>753</v>
      </c>
      <c r="B108" s="2" t="s">
        <v>402</v>
      </c>
      <c r="C108" s="4" t="s">
        <v>646</v>
      </c>
      <c r="D108" s="4" t="s">
        <v>646</v>
      </c>
      <c r="E108" s="4" t="s">
        <v>646</v>
      </c>
      <c r="F108" s="4" t="s">
        <v>646</v>
      </c>
      <c r="G108" s="4" t="s">
        <v>646</v>
      </c>
      <c r="H108" s="4" t="s">
        <v>646</v>
      </c>
      <c r="I108" s="4" t="s">
        <v>646</v>
      </c>
      <c r="J108" s="4" t="s">
        <v>646</v>
      </c>
      <c r="K108" s="4" t="s">
        <v>646</v>
      </c>
      <c r="L108" s="4" t="s">
        <v>646</v>
      </c>
      <c r="M108" s="4" t="s">
        <v>646</v>
      </c>
      <c r="N108" s="4" t="s">
        <v>646</v>
      </c>
      <c r="O108">
        <f t="shared" si="3"/>
        <v>12</v>
      </c>
      <c r="P108">
        <f t="shared" si="4"/>
        <v>0</v>
      </c>
      <c r="Q108" t="str">
        <f t="shared" si="5"/>
        <v>Normal</v>
      </c>
    </row>
    <row r="109" spans="1:17" ht="13.2" x14ac:dyDescent="0.25">
      <c r="A109" s="2" t="s">
        <v>754</v>
      </c>
      <c r="B109" s="2" t="s">
        <v>396</v>
      </c>
      <c r="C109" s="4" t="s">
        <v>646</v>
      </c>
      <c r="D109" s="4" t="s">
        <v>646</v>
      </c>
      <c r="E109" s="4" t="s">
        <v>646</v>
      </c>
      <c r="F109" s="4" t="s">
        <v>646</v>
      </c>
      <c r="G109" s="4" t="s">
        <v>646</v>
      </c>
      <c r="H109" s="4" t="s">
        <v>646</v>
      </c>
      <c r="I109" s="4" t="s">
        <v>646</v>
      </c>
      <c r="J109" s="4" t="s">
        <v>646</v>
      </c>
      <c r="K109" s="4" t="s">
        <v>646</v>
      </c>
      <c r="L109" s="4" t="s">
        <v>646</v>
      </c>
      <c r="M109" s="4" t="s">
        <v>646</v>
      </c>
      <c r="N109" s="4" t="s">
        <v>646</v>
      </c>
      <c r="O109">
        <f t="shared" si="3"/>
        <v>12</v>
      </c>
      <c r="P109">
        <f t="shared" si="4"/>
        <v>0</v>
      </c>
      <c r="Q109" t="str">
        <f t="shared" si="5"/>
        <v>Normal</v>
      </c>
    </row>
    <row r="110" spans="1:17" ht="13.2" x14ac:dyDescent="0.25">
      <c r="A110" s="2" t="s">
        <v>755</v>
      </c>
      <c r="B110" s="2" t="s">
        <v>405</v>
      </c>
      <c r="C110" s="4" t="s">
        <v>646</v>
      </c>
      <c r="D110" s="4" t="s">
        <v>646</v>
      </c>
      <c r="E110" s="4" t="s">
        <v>646</v>
      </c>
      <c r="F110" s="4" t="s">
        <v>646</v>
      </c>
      <c r="G110" s="4" t="s">
        <v>646</v>
      </c>
      <c r="H110" s="4" t="s">
        <v>646</v>
      </c>
      <c r="I110" s="4" t="s">
        <v>646</v>
      </c>
      <c r="J110" s="4" t="s">
        <v>646</v>
      </c>
      <c r="K110" s="4" t="s">
        <v>646</v>
      </c>
      <c r="L110" s="4" t="s">
        <v>646</v>
      </c>
      <c r="M110" s="4" t="s">
        <v>646</v>
      </c>
      <c r="N110" s="4" t="s">
        <v>646</v>
      </c>
      <c r="O110">
        <f t="shared" si="3"/>
        <v>12</v>
      </c>
      <c r="P110">
        <f t="shared" si="4"/>
        <v>0</v>
      </c>
      <c r="Q110" t="str">
        <f t="shared" si="5"/>
        <v>Normal</v>
      </c>
    </row>
    <row r="111" spans="1:17" ht="13.2" x14ac:dyDescent="0.25">
      <c r="A111" s="2" t="s">
        <v>756</v>
      </c>
      <c r="B111" s="2" t="s">
        <v>393</v>
      </c>
      <c r="C111" s="4" t="s">
        <v>646</v>
      </c>
      <c r="D111" s="4" t="s">
        <v>646</v>
      </c>
      <c r="E111" s="4" t="s">
        <v>646</v>
      </c>
      <c r="F111" s="4" t="s">
        <v>646</v>
      </c>
      <c r="G111" s="4" t="s">
        <v>646</v>
      </c>
      <c r="H111" s="4" t="s">
        <v>646</v>
      </c>
      <c r="I111" s="4" t="s">
        <v>646</v>
      </c>
      <c r="J111" s="4" t="s">
        <v>646</v>
      </c>
      <c r="K111" s="4" t="s">
        <v>646</v>
      </c>
      <c r="L111" s="4" t="s">
        <v>646</v>
      </c>
      <c r="M111" s="4" t="s">
        <v>646</v>
      </c>
      <c r="N111" s="4" t="s">
        <v>646</v>
      </c>
      <c r="O111">
        <f t="shared" si="3"/>
        <v>12</v>
      </c>
      <c r="P111">
        <f t="shared" si="4"/>
        <v>0</v>
      </c>
      <c r="Q111" t="str">
        <f t="shared" si="5"/>
        <v>Normal</v>
      </c>
    </row>
    <row r="112" spans="1:17" ht="13.2" x14ac:dyDescent="0.25">
      <c r="A112" s="2" t="s">
        <v>757</v>
      </c>
      <c r="B112" s="2" t="s">
        <v>387</v>
      </c>
      <c r="C112" s="4" t="s">
        <v>646</v>
      </c>
      <c r="D112" s="4" t="s">
        <v>646</v>
      </c>
      <c r="E112" s="4" t="s">
        <v>646</v>
      </c>
      <c r="F112" s="4" t="s">
        <v>646</v>
      </c>
      <c r="G112" s="4" t="s">
        <v>646</v>
      </c>
      <c r="H112" s="4" t="s">
        <v>646</v>
      </c>
      <c r="I112" s="4" t="s">
        <v>646</v>
      </c>
      <c r="J112" s="4" t="s">
        <v>646</v>
      </c>
      <c r="K112" s="4" t="s">
        <v>646</v>
      </c>
      <c r="L112" s="4" t="s">
        <v>646</v>
      </c>
      <c r="M112" s="4" t="s">
        <v>646</v>
      </c>
      <c r="N112" s="4" t="s">
        <v>646</v>
      </c>
      <c r="O112">
        <f t="shared" si="3"/>
        <v>12</v>
      </c>
      <c r="P112">
        <f t="shared" si="4"/>
        <v>0</v>
      </c>
      <c r="Q112" t="str">
        <f t="shared" si="5"/>
        <v>Normal</v>
      </c>
    </row>
    <row r="113" spans="1:17" ht="13.2" x14ac:dyDescent="0.25">
      <c r="A113" s="2" t="s">
        <v>758</v>
      </c>
      <c r="B113" s="2" t="s">
        <v>33</v>
      </c>
      <c r="C113" s="4" t="s">
        <v>646</v>
      </c>
      <c r="D113" s="4" t="s">
        <v>646</v>
      </c>
      <c r="E113" s="4" t="s">
        <v>646</v>
      </c>
      <c r="F113" s="4" t="s">
        <v>646</v>
      </c>
      <c r="G113" s="4" t="s">
        <v>646</v>
      </c>
      <c r="H113" s="4" t="s">
        <v>646</v>
      </c>
      <c r="I113" s="4" t="s">
        <v>646</v>
      </c>
      <c r="J113" s="4" t="s">
        <v>646</v>
      </c>
      <c r="K113" s="4" t="s">
        <v>646</v>
      </c>
      <c r="L113" s="4" t="s">
        <v>646</v>
      </c>
      <c r="M113" s="4" t="s">
        <v>646</v>
      </c>
      <c r="N113" s="4" t="s">
        <v>646</v>
      </c>
      <c r="O113">
        <f t="shared" si="3"/>
        <v>12</v>
      </c>
      <c r="P113">
        <f t="shared" si="4"/>
        <v>0</v>
      </c>
      <c r="Q113" t="str">
        <f t="shared" si="5"/>
        <v>Normal</v>
      </c>
    </row>
    <row r="114" spans="1:17" ht="13.2" x14ac:dyDescent="0.25">
      <c r="A114" s="2" t="s">
        <v>759</v>
      </c>
      <c r="B114" s="2" t="s">
        <v>187</v>
      </c>
      <c r="C114" s="4" t="s">
        <v>646</v>
      </c>
      <c r="D114" s="4" t="s">
        <v>646</v>
      </c>
      <c r="E114" s="4" t="s">
        <v>646</v>
      </c>
      <c r="F114" s="4" t="s">
        <v>646</v>
      </c>
      <c r="G114" s="4" t="s">
        <v>646</v>
      </c>
      <c r="H114" s="4" t="s">
        <v>646</v>
      </c>
      <c r="I114" s="4" t="s">
        <v>646</v>
      </c>
      <c r="J114" s="4" t="s">
        <v>646</v>
      </c>
      <c r="K114" s="4" t="s">
        <v>646</v>
      </c>
      <c r="L114" s="4" t="s">
        <v>646</v>
      </c>
      <c r="M114" s="4" t="s">
        <v>646</v>
      </c>
      <c r="N114" s="4" t="s">
        <v>646</v>
      </c>
      <c r="O114">
        <f t="shared" si="3"/>
        <v>12</v>
      </c>
      <c r="P114">
        <f t="shared" si="4"/>
        <v>0</v>
      </c>
      <c r="Q114" t="str">
        <f t="shared" si="5"/>
        <v>Normal</v>
      </c>
    </row>
    <row r="115" spans="1:17" ht="13.2" x14ac:dyDescent="0.25">
      <c r="A115" s="2" t="s">
        <v>760</v>
      </c>
      <c r="B115" s="2" t="s">
        <v>379</v>
      </c>
      <c r="C115" s="4" t="s">
        <v>646</v>
      </c>
      <c r="D115" s="4" t="s">
        <v>646</v>
      </c>
      <c r="E115" s="4" t="s">
        <v>646</v>
      </c>
      <c r="F115" s="4" t="s">
        <v>646</v>
      </c>
      <c r="G115" s="4" t="s">
        <v>646</v>
      </c>
      <c r="H115" s="4" t="s">
        <v>646</v>
      </c>
      <c r="I115" s="4" t="s">
        <v>646</v>
      </c>
      <c r="J115" s="4" t="s">
        <v>646</v>
      </c>
      <c r="K115" s="4" t="s">
        <v>646</v>
      </c>
      <c r="L115" s="4" t="s">
        <v>646</v>
      </c>
      <c r="M115" s="4" t="s">
        <v>646</v>
      </c>
      <c r="N115" s="4" t="s">
        <v>646</v>
      </c>
      <c r="O115">
        <f t="shared" si="3"/>
        <v>12</v>
      </c>
      <c r="P115">
        <f t="shared" si="4"/>
        <v>0</v>
      </c>
      <c r="Q115" t="str">
        <f t="shared" si="5"/>
        <v>Normal</v>
      </c>
    </row>
    <row r="116" spans="1:17" ht="13.2" x14ac:dyDescent="0.25">
      <c r="A116" s="2" t="s">
        <v>761</v>
      </c>
      <c r="B116" s="2" t="s">
        <v>337</v>
      </c>
      <c r="C116" s="4" t="s">
        <v>646</v>
      </c>
      <c r="D116" s="4" t="s">
        <v>646</v>
      </c>
      <c r="E116" s="4" t="s">
        <v>646</v>
      </c>
      <c r="F116" s="4" t="s">
        <v>646</v>
      </c>
      <c r="G116" s="4" t="s">
        <v>646</v>
      </c>
      <c r="H116" s="4" t="s">
        <v>646</v>
      </c>
      <c r="I116" s="4" t="s">
        <v>646</v>
      </c>
      <c r="J116" s="4" t="s">
        <v>646</v>
      </c>
      <c r="K116" s="4" t="s">
        <v>646</v>
      </c>
      <c r="L116" s="4" t="s">
        <v>646</v>
      </c>
      <c r="M116" s="4" t="s">
        <v>646</v>
      </c>
      <c r="N116" s="4" t="s">
        <v>646</v>
      </c>
      <c r="O116">
        <f t="shared" si="3"/>
        <v>12</v>
      </c>
      <c r="P116">
        <f t="shared" si="4"/>
        <v>0</v>
      </c>
      <c r="Q116" t="str">
        <f t="shared" si="5"/>
        <v>Normal</v>
      </c>
    </row>
    <row r="117" spans="1:17" ht="13.2" x14ac:dyDescent="0.25">
      <c r="A117" s="2" t="s">
        <v>762</v>
      </c>
      <c r="B117" s="2" t="s">
        <v>382</v>
      </c>
      <c r="C117" s="4" t="s">
        <v>646</v>
      </c>
      <c r="D117" s="4" t="s">
        <v>646</v>
      </c>
      <c r="E117" s="4" t="s">
        <v>646</v>
      </c>
      <c r="F117" s="4" t="s">
        <v>646</v>
      </c>
      <c r="G117" s="4" t="s">
        <v>646</v>
      </c>
      <c r="H117" s="4" t="s">
        <v>646</v>
      </c>
      <c r="I117" s="4" t="s">
        <v>646</v>
      </c>
      <c r="J117" s="4" t="s">
        <v>646</v>
      </c>
      <c r="K117" s="4" t="s">
        <v>646</v>
      </c>
      <c r="L117" s="4" t="s">
        <v>646</v>
      </c>
      <c r="M117" s="4" t="s">
        <v>646</v>
      </c>
      <c r="N117" s="4" t="s">
        <v>646</v>
      </c>
      <c r="O117">
        <f t="shared" si="3"/>
        <v>12</v>
      </c>
      <c r="P117">
        <f t="shared" si="4"/>
        <v>0</v>
      </c>
      <c r="Q117" t="str">
        <f t="shared" si="5"/>
        <v>Normal</v>
      </c>
    </row>
    <row r="118" spans="1:17" ht="13.2" x14ac:dyDescent="0.25">
      <c r="A118" s="2" t="s">
        <v>763</v>
      </c>
      <c r="B118" s="2" t="s">
        <v>515</v>
      </c>
      <c r="C118" s="4" t="s">
        <v>646</v>
      </c>
      <c r="D118" s="4" t="s">
        <v>646</v>
      </c>
      <c r="E118" s="4" t="s">
        <v>646</v>
      </c>
      <c r="F118" s="4" t="s">
        <v>646</v>
      </c>
      <c r="G118" s="4" t="s">
        <v>646</v>
      </c>
      <c r="H118" s="4" t="s">
        <v>646</v>
      </c>
      <c r="I118" s="4" t="s">
        <v>646</v>
      </c>
      <c r="J118" s="4" t="s">
        <v>646</v>
      </c>
      <c r="K118" s="4" t="s">
        <v>646</v>
      </c>
      <c r="L118" s="4" t="s">
        <v>646</v>
      </c>
      <c r="M118" s="4" t="s">
        <v>646</v>
      </c>
      <c r="N118" s="4" t="s">
        <v>646</v>
      </c>
      <c r="O118">
        <f t="shared" si="3"/>
        <v>12</v>
      </c>
      <c r="P118">
        <f t="shared" si="4"/>
        <v>0</v>
      </c>
      <c r="Q118" t="str">
        <f t="shared" si="5"/>
        <v>Normal</v>
      </c>
    </row>
    <row r="119" spans="1:17" ht="13.2" x14ac:dyDescent="0.25">
      <c r="A119" s="2" t="s">
        <v>764</v>
      </c>
      <c r="B119" s="2" t="s">
        <v>359</v>
      </c>
      <c r="C119" s="4" t="s">
        <v>646</v>
      </c>
      <c r="D119" s="4" t="s">
        <v>646</v>
      </c>
      <c r="E119" s="4" t="s">
        <v>646</v>
      </c>
      <c r="F119" s="4" t="s">
        <v>646</v>
      </c>
      <c r="G119" s="4" t="s">
        <v>646</v>
      </c>
      <c r="H119" s="4" t="s">
        <v>646</v>
      </c>
      <c r="I119" s="4" t="s">
        <v>646</v>
      </c>
      <c r="J119" s="4" t="s">
        <v>646</v>
      </c>
      <c r="K119" s="4" t="s">
        <v>646</v>
      </c>
      <c r="L119" s="4" t="s">
        <v>646</v>
      </c>
      <c r="M119" s="4" t="s">
        <v>646</v>
      </c>
      <c r="N119" s="4" t="s">
        <v>646</v>
      </c>
      <c r="O119">
        <f t="shared" si="3"/>
        <v>12</v>
      </c>
      <c r="P119">
        <f t="shared" si="4"/>
        <v>0</v>
      </c>
      <c r="Q119" t="str">
        <f t="shared" si="5"/>
        <v>Normal</v>
      </c>
    </row>
    <row r="120" spans="1:17" ht="13.2" x14ac:dyDescent="0.25">
      <c r="A120" s="2" t="s">
        <v>765</v>
      </c>
      <c r="B120" s="2" t="s">
        <v>356</v>
      </c>
      <c r="C120" s="4" t="s">
        <v>646</v>
      </c>
      <c r="D120" s="4" t="s">
        <v>646</v>
      </c>
      <c r="E120" s="4" t="s">
        <v>646</v>
      </c>
      <c r="F120" s="4" t="s">
        <v>646</v>
      </c>
      <c r="G120" s="4" t="s">
        <v>646</v>
      </c>
      <c r="H120" s="4" t="s">
        <v>646</v>
      </c>
      <c r="I120" s="4" t="s">
        <v>646</v>
      </c>
      <c r="J120" s="4" t="s">
        <v>646</v>
      </c>
      <c r="K120" s="4" t="s">
        <v>646</v>
      </c>
      <c r="L120" s="4" t="s">
        <v>646</v>
      </c>
      <c r="M120" s="4" t="s">
        <v>646</v>
      </c>
      <c r="N120" s="4" t="s">
        <v>646</v>
      </c>
      <c r="O120">
        <f t="shared" si="3"/>
        <v>12</v>
      </c>
      <c r="P120">
        <f t="shared" si="4"/>
        <v>0</v>
      </c>
      <c r="Q120" t="str">
        <f t="shared" si="5"/>
        <v>Normal</v>
      </c>
    </row>
    <row r="121" spans="1:17" ht="13.2" x14ac:dyDescent="0.25">
      <c r="A121" s="2" t="s">
        <v>766</v>
      </c>
      <c r="B121" s="2" t="s">
        <v>428</v>
      </c>
      <c r="C121" s="4" t="s">
        <v>646</v>
      </c>
      <c r="D121" s="4" t="s">
        <v>646</v>
      </c>
      <c r="E121" s="4" t="s">
        <v>646</v>
      </c>
      <c r="F121" s="4" t="s">
        <v>646</v>
      </c>
      <c r="G121" s="4" t="s">
        <v>646</v>
      </c>
      <c r="H121" s="4" t="s">
        <v>646</v>
      </c>
      <c r="I121" s="4" t="s">
        <v>646</v>
      </c>
      <c r="J121" s="4" t="s">
        <v>646</v>
      </c>
      <c r="K121" s="4" t="s">
        <v>646</v>
      </c>
      <c r="L121" s="4" t="s">
        <v>646</v>
      </c>
      <c r="M121" s="4" t="s">
        <v>646</v>
      </c>
      <c r="N121" s="4" t="s">
        <v>646</v>
      </c>
      <c r="O121">
        <f t="shared" si="3"/>
        <v>12</v>
      </c>
      <c r="P121">
        <f t="shared" si="4"/>
        <v>0</v>
      </c>
      <c r="Q121" t="str">
        <f t="shared" si="5"/>
        <v>Normal</v>
      </c>
    </row>
    <row r="122" spans="1:17" ht="13.2" x14ac:dyDescent="0.25">
      <c r="A122" s="2" t="s">
        <v>767</v>
      </c>
      <c r="B122" s="2" t="s">
        <v>527</v>
      </c>
      <c r="C122" s="4" t="s">
        <v>646</v>
      </c>
      <c r="D122" s="4" t="s">
        <v>646</v>
      </c>
      <c r="E122" s="4" t="s">
        <v>646</v>
      </c>
      <c r="F122" s="4" t="s">
        <v>646</v>
      </c>
      <c r="G122" s="4" t="s">
        <v>646</v>
      </c>
      <c r="H122" s="4" t="s">
        <v>646</v>
      </c>
      <c r="I122" s="4" t="s">
        <v>646</v>
      </c>
      <c r="J122" s="4" t="s">
        <v>646</v>
      </c>
      <c r="K122" s="4" t="s">
        <v>646</v>
      </c>
      <c r="L122" s="4" t="s">
        <v>646</v>
      </c>
      <c r="M122" s="4" t="s">
        <v>646</v>
      </c>
      <c r="N122" s="4" t="s">
        <v>646</v>
      </c>
      <c r="O122">
        <f t="shared" si="3"/>
        <v>12</v>
      </c>
      <c r="P122">
        <f t="shared" si="4"/>
        <v>0</v>
      </c>
      <c r="Q122" t="str">
        <f t="shared" si="5"/>
        <v>Normal</v>
      </c>
    </row>
    <row r="123" spans="1:17" ht="13.2" x14ac:dyDescent="0.25">
      <c r="A123" s="2" t="s">
        <v>768</v>
      </c>
      <c r="B123" s="2" t="s">
        <v>362</v>
      </c>
      <c r="C123" s="4" t="s">
        <v>646</v>
      </c>
      <c r="D123" s="4" t="s">
        <v>646</v>
      </c>
      <c r="E123" s="4" t="s">
        <v>646</v>
      </c>
      <c r="F123" s="4" t="s">
        <v>646</v>
      </c>
      <c r="G123" s="4" t="s">
        <v>646</v>
      </c>
      <c r="H123" s="4" t="s">
        <v>646</v>
      </c>
      <c r="I123" s="4" t="s">
        <v>646</v>
      </c>
      <c r="J123" s="4" t="s">
        <v>646</v>
      </c>
      <c r="K123" s="4" t="s">
        <v>646</v>
      </c>
      <c r="L123" s="4" t="s">
        <v>646</v>
      </c>
      <c r="M123" s="4" t="s">
        <v>646</v>
      </c>
      <c r="N123" s="4" t="s">
        <v>646</v>
      </c>
      <c r="O123">
        <f t="shared" si="3"/>
        <v>12</v>
      </c>
      <c r="P123">
        <f t="shared" si="4"/>
        <v>0</v>
      </c>
      <c r="Q123" t="str">
        <f t="shared" si="5"/>
        <v>Normal</v>
      </c>
    </row>
    <row r="124" spans="1:17" ht="13.2" x14ac:dyDescent="0.25">
      <c r="A124" s="2" t="s">
        <v>769</v>
      </c>
      <c r="B124" s="2" t="s">
        <v>351</v>
      </c>
      <c r="C124" s="4" t="s">
        <v>646</v>
      </c>
      <c r="D124" s="4" t="s">
        <v>646</v>
      </c>
      <c r="E124" s="4" t="s">
        <v>646</v>
      </c>
      <c r="F124" s="4" t="s">
        <v>646</v>
      </c>
      <c r="G124" s="4" t="s">
        <v>646</v>
      </c>
      <c r="H124" s="4" t="s">
        <v>646</v>
      </c>
      <c r="I124" s="4" t="s">
        <v>646</v>
      </c>
      <c r="J124" s="4" t="s">
        <v>646</v>
      </c>
      <c r="K124" s="4" t="s">
        <v>646</v>
      </c>
      <c r="L124" s="4" t="s">
        <v>646</v>
      </c>
      <c r="M124" s="4" t="s">
        <v>646</v>
      </c>
      <c r="N124" s="4" t="s">
        <v>646</v>
      </c>
      <c r="O124">
        <f t="shared" si="3"/>
        <v>12</v>
      </c>
      <c r="P124">
        <f t="shared" si="4"/>
        <v>0</v>
      </c>
      <c r="Q124" t="str">
        <f t="shared" si="5"/>
        <v>Normal</v>
      </c>
    </row>
    <row r="125" spans="1:17" ht="13.2" x14ac:dyDescent="0.25">
      <c r="A125" s="2" t="s">
        <v>770</v>
      </c>
      <c r="B125" s="2" t="s">
        <v>349</v>
      </c>
      <c r="C125" s="4" t="s">
        <v>646</v>
      </c>
      <c r="D125" s="4" t="s">
        <v>646</v>
      </c>
      <c r="E125" s="4" t="s">
        <v>646</v>
      </c>
      <c r="F125" s="4" t="s">
        <v>646</v>
      </c>
      <c r="G125" s="4" t="s">
        <v>646</v>
      </c>
      <c r="H125" s="4" t="s">
        <v>646</v>
      </c>
      <c r="I125" s="4" t="s">
        <v>646</v>
      </c>
      <c r="J125" s="4" t="s">
        <v>646</v>
      </c>
      <c r="K125" s="4" t="s">
        <v>646</v>
      </c>
      <c r="L125" s="4" t="s">
        <v>646</v>
      </c>
      <c r="M125" s="4" t="s">
        <v>646</v>
      </c>
      <c r="N125" s="4" t="s">
        <v>646</v>
      </c>
      <c r="O125">
        <f t="shared" si="3"/>
        <v>12</v>
      </c>
      <c r="P125">
        <f t="shared" si="4"/>
        <v>0</v>
      </c>
      <c r="Q125" t="str">
        <f t="shared" si="5"/>
        <v>Normal</v>
      </c>
    </row>
    <row r="126" spans="1:17" ht="13.2" x14ac:dyDescent="0.25">
      <c r="A126" s="2" t="s">
        <v>771</v>
      </c>
      <c r="B126" s="2" t="s">
        <v>254</v>
      </c>
      <c r="C126" s="4" t="s">
        <v>646</v>
      </c>
      <c r="D126" s="4" t="s">
        <v>646</v>
      </c>
      <c r="E126" s="4" t="s">
        <v>646</v>
      </c>
      <c r="F126" s="4" t="s">
        <v>646</v>
      </c>
      <c r="G126" s="4" t="s">
        <v>646</v>
      </c>
      <c r="H126" s="4" t="s">
        <v>646</v>
      </c>
      <c r="I126" s="4" t="s">
        <v>646</v>
      </c>
      <c r="J126" s="4" t="s">
        <v>646</v>
      </c>
      <c r="K126" s="4" t="s">
        <v>646</v>
      </c>
      <c r="L126" s="4" t="s">
        <v>646</v>
      </c>
      <c r="M126" s="4" t="s">
        <v>646</v>
      </c>
      <c r="N126" s="4" t="s">
        <v>646</v>
      </c>
      <c r="O126">
        <f t="shared" si="3"/>
        <v>12</v>
      </c>
      <c r="P126">
        <f t="shared" si="4"/>
        <v>0</v>
      </c>
      <c r="Q126" t="str">
        <f t="shared" si="5"/>
        <v>Normal</v>
      </c>
    </row>
    <row r="127" spans="1:17" ht="13.2" x14ac:dyDescent="0.25">
      <c r="A127" s="2" t="s">
        <v>772</v>
      </c>
      <c r="B127" s="2" t="s">
        <v>541</v>
      </c>
      <c r="C127" s="4" t="s">
        <v>646</v>
      </c>
      <c r="D127" s="4" t="s">
        <v>646</v>
      </c>
      <c r="E127" s="4" t="s">
        <v>646</v>
      </c>
      <c r="F127" s="4" t="s">
        <v>646</v>
      </c>
      <c r="G127" s="4" t="s">
        <v>646</v>
      </c>
      <c r="H127" s="4" t="s">
        <v>646</v>
      </c>
      <c r="I127" s="4" t="s">
        <v>646</v>
      </c>
      <c r="J127" s="4" t="s">
        <v>646</v>
      </c>
      <c r="K127" s="4" t="s">
        <v>646</v>
      </c>
      <c r="L127" s="4" t="s">
        <v>646</v>
      </c>
      <c r="M127" s="4" t="s">
        <v>646</v>
      </c>
      <c r="N127" s="4" t="s">
        <v>646</v>
      </c>
      <c r="O127">
        <f t="shared" si="3"/>
        <v>12</v>
      </c>
      <c r="P127">
        <f t="shared" si="4"/>
        <v>0</v>
      </c>
      <c r="Q127" t="str">
        <f t="shared" si="5"/>
        <v>Normal</v>
      </c>
    </row>
    <row r="128" spans="1:17" ht="13.2" x14ac:dyDescent="0.25">
      <c r="A128" s="2" t="s">
        <v>773</v>
      </c>
      <c r="B128" s="2" t="s">
        <v>332</v>
      </c>
      <c r="C128" s="4" t="s">
        <v>646</v>
      </c>
      <c r="D128" s="4" t="s">
        <v>646</v>
      </c>
      <c r="E128" s="4" t="s">
        <v>646</v>
      </c>
      <c r="F128" s="4" t="s">
        <v>646</v>
      </c>
      <c r="G128" s="4" t="s">
        <v>646</v>
      </c>
      <c r="H128" s="4" t="s">
        <v>646</v>
      </c>
      <c r="I128" s="4" t="s">
        <v>646</v>
      </c>
      <c r="J128" s="4" t="s">
        <v>646</v>
      </c>
      <c r="K128" s="4" t="s">
        <v>646</v>
      </c>
      <c r="L128" s="4" t="s">
        <v>646</v>
      </c>
      <c r="M128" s="4" t="s">
        <v>646</v>
      </c>
      <c r="N128" s="4" t="s">
        <v>646</v>
      </c>
      <c r="O128">
        <f t="shared" si="3"/>
        <v>12</v>
      </c>
      <c r="P128">
        <f t="shared" si="4"/>
        <v>0</v>
      </c>
      <c r="Q128" t="str">
        <f t="shared" si="5"/>
        <v>Normal</v>
      </c>
    </row>
    <row r="129" spans="1:17" ht="13.2" x14ac:dyDescent="0.25">
      <c r="A129" s="2" t="s">
        <v>774</v>
      </c>
      <c r="B129" s="2" t="s">
        <v>322</v>
      </c>
      <c r="C129" s="4" t="s">
        <v>646</v>
      </c>
      <c r="D129" s="4" t="s">
        <v>646</v>
      </c>
      <c r="E129" s="4" t="s">
        <v>646</v>
      </c>
      <c r="F129" s="4" t="s">
        <v>646</v>
      </c>
      <c r="G129" s="4" t="s">
        <v>646</v>
      </c>
      <c r="H129" s="4" t="s">
        <v>646</v>
      </c>
      <c r="I129" s="4" t="s">
        <v>646</v>
      </c>
      <c r="J129" s="4" t="s">
        <v>646</v>
      </c>
      <c r="K129" s="4" t="s">
        <v>646</v>
      </c>
      <c r="L129" s="4" t="s">
        <v>646</v>
      </c>
      <c r="M129" s="4" t="s">
        <v>646</v>
      </c>
      <c r="N129" s="4" t="s">
        <v>646</v>
      </c>
      <c r="O129">
        <f t="shared" si="3"/>
        <v>12</v>
      </c>
      <c r="P129">
        <f t="shared" si="4"/>
        <v>0</v>
      </c>
      <c r="Q129" t="str">
        <f t="shared" si="5"/>
        <v>Normal</v>
      </c>
    </row>
    <row r="130" spans="1:17" ht="13.2" x14ac:dyDescent="0.25">
      <c r="A130" s="2" t="s">
        <v>775</v>
      </c>
      <c r="B130" s="2" t="s">
        <v>324</v>
      </c>
      <c r="C130" s="4" t="s">
        <v>646</v>
      </c>
      <c r="D130" s="4" t="s">
        <v>646</v>
      </c>
      <c r="E130" s="4" t="s">
        <v>646</v>
      </c>
      <c r="F130" s="4" t="s">
        <v>646</v>
      </c>
      <c r="G130" s="4" t="s">
        <v>646</v>
      </c>
      <c r="H130" s="4" t="s">
        <v>646</v>
      </c>
      <c r="I130" s="4" t="s">
        <v>646</v>
      </c>
      <c r="J130" s="4" t="s">
        <v>646</v>
      </c>
      <c r="K130" s="4" t="s">
        <v>646</v>
      </c>
      <c r="L130" s="4" t="s">
        <v>646</v>
      </c>
      <c r="M130" s="4" t="s">
        <v>646</v>
      </c>
      <c r="N130" s="4" t="s">
        <v>646</v>
      </c>
      <c r="O130">
        <f t="shared" si="3"/>
        <v>12</v>
      </c>
      <c r="P130">
        <f t="shared" si="4"/>
        <v>0</v>
      </c>
      <c r="Q130" t="str">
        <f t="shared" si="5"/>
        <v>Normal</v>
      </c>
    </row>
    <row r="131" spans="1:17" ht="13.2" x14ac:dyDescent="0.25">
      <c r="A131" s="2" t="s">
        <v>776</v>
      </c>
      <c r="B131" s="2" t="s">
        <v>319</v>
      </c>
      <c r="C131" s="4" t="s">
        <v>646</v>
      </c>
      <c r="D131" s="4" t="s">
        <v>646</v>
      </c>
      <c r="E131" s="4" t="s">
        <v>646</v>
      </c>
      <c r="F131" s="4" t="s">
        <v>646</v>
      </c>
      <c r="G131" s="4" t="s">
        <v>646</v>
      </c>
      <c r="H131" s="4" t="s">
        <v>646</v>
      </c>
      <c r="I131" s="4" t="s">
        <v>646</v>
      </c>
      <c r="J131" s="4" t="s">
        <v>646</v>
      </c>
      <c r="K131" s="4" t="s">
        <v>646</v>
      </c>
      <c r="L131" s="4" t="s">
        <v>646</v>
      </c>
      <c r="M131" s="4" t="s">
        <v>646</v>
      </c>
      <c r="N131" s="4" t="s">
        <v>646</v>
      </c>
      <c r="O131">
        <f t="shared" ref="O131:O194" si="6">+COUNTIF(C131:N131,"Present")</f>
        <v>12</v>
      </c>
      <c r="P131">
        <f t="shared" ref="P131:P194" si="7">+COUNTIF(C131:O131,"Absent")</f>
        <v>0</v>
      </c>
      <c r="Q131" t="str">
        <f t="shared" ref="Q131:Q194" si="8">IF(P131&gt;3,"At Risk","Normal")</f>
        <v>Normal</v>
      </c>
    </row>
    <row r="132" spans="1:17" ht="13.2" x14ac:dyDescent="0.25">
      <c r="A132" s="2" t="s">
        <v>777</v>
      </c>
      <c r="B132" s="2" t="s">
        <v>518</v>
      </c>
      <c r="C132" s="4" t="s">
        <v>646</v>
      </c>
      <c r="D132" s="4" t="s">
        <v>646</v>
      </c>
      <c r="E132" s="4" t="s">
        <v>646</v>
      </c>
      <c r="F132" s="4" t="s">
        <v>646</v>
      </c>
      <c r="G132" s="4" t="s">
        <v>646</v>
      </c>
      <c r="H132" s="4" t="s">
        <v>646</v>
      </c>
      <c r="I132" s="4" t="s">
        <v>646</v>
      </c>
      <c r="J132" s="4" t="s">
        <v>646</v>
      </c>
      <c r="K132" s="4" t="s">
        <v>646</v>
      </c>
      <c r="L132" s="4" t="s">
        <v>646</v>
      </c>
      <c r="M132" s="4" t="s">
        <v>646</v>
      </c>
      <c r="N132" s="4" t="s">
        <v>646</v>
      </c>
      <c r="O132">
        <f t="shared" si="6"/>
        <v>12</v>
      </c>
      <c r="P132">
        <f t="shared" si="7"/>
        <v>0</v>
      </c>
      <c r="Q132" t="str">
        <f t="shared" si="8"/>
        <v>Normal</v>
      </c>
    </row>
    <row r="133" spans="1:17" ht="13.2" x14ac:dyDescent="0.25">
      <c r="A133" s="2" t="s">
        <v>778</v>
      </c>
      <c r="B133" s="2" t="s">
        <v>311</v>
      </c>
      <c r="C133" s="4" t="s">
        <v>646</v>
      </c>
      <c r="D133" s="4" t="s">
        <v>646</v>
      </c>
      <c r="E133" s="4" t="s">
        <v>646</v>
      </c>
      <c r="F133" s="4" t="s">
        <v>646</v>
      </c>
      <c r="G133" s="4" t="s">
        <v>646</v>
      </c>
      <c r="H133" s="4" t="s">
        <v>646</v>
      </c>
      <c r="I133" s="4" t="s">
        <v>646</v>
      </c>
      <c r="J133" s="4" t="s">
        <v>646</v>
      </c>
      <c r="K133" s="4" t="s">
        <v>646</v>
      </c>
      <c r="L133" s="4" t="s">
        <v>646</v>
      </c>
      <c r="M133" s="4" t="s">
        <v>646</v>
      </c>
      <c r="N133" s="4" t="s">
        <v>646</v>
      </c>
      <c r="O133">
        <f t="shared" si="6"/>
        <v>12</v>
      </c>
      <c r="P133">
        <f t="shared" si="7"/>
        <v>0</v>
      </c>
      <c r="Q133" t="str">
        <f t="shared" si="8"/>
        <v>Normal</v>
      </c>
    </row>
    <row r="134" spans="1:17" ht="13.2" x14ac:dyDescent="0.25">
      <c r="A134" s="2" t="s">
        <v>779</v>
      </c>
      <c r="B134" s="2" t="s">
        <v>303</v>
      </c>
      <c r="C134" s="4" t="s">
        <v>646</v>
      </c>
      <c r="D134" s="4" t="s">
        <v>646</v>
      </c>
      <c r="E134" s="4" t="s">
        <v>646</v>
      </c>
      <c r="F134" s="4" t="s">
        <v>646</v>
      </c>
      <c r="G134" s="4" t="s">
        <v>646</v>
      </c>
      <c r="H134" s="4" t="s">
        <v>646</v>
      </c>
      <c r="I134" s="4" t="s">
        <v>646</v>
      </c>
      <c r="J134" s="4" t="s">
        <v>646</v>
      </c>
      <c r="K134" s="4" t="s">
        <v>646</v>
      </c>
      <c r="L134" s="4" t="s">
        <v>646</v>
      </c>
      <c r="M134" s="4" t="s">
        <v>646</v>
      </c>
      <c r="N134" s="4" t="s">
        <v>646</v>
      </c>
      <c r="O134">
        <f t="shared" si="6"/>
        <v>12</v>
      </c>
      <c r="P134">
        <f t="shared" si="7"/>
        <v>0</v>
      </c>
      <c r="Q134" t="str">
        <f t="shared" si="8"/>
        <v>Normal</v>
      </c>
    </row>
    <row r="135" spans="1:17" ht="13.2" x14ac:dyDescent="0.25">
      <c r="A135" s="2" t="s">
        <v>780</v>
      </c>
      <c r="B135" s="2" t="s">
        <v>297</v>
      </c>
      <c r="C135" s="4" t="s">
        <v>646</v>
      </c>
      <c r="D135" s="4" t="s">
        <v>646</v>
      </c>
      <c r="E135" s="4" t="s">
        <v>646</v>
      </c>
      <c r="F135" s="4" t="s">
        <v>646</v>
      </c>
      <c r="G135" s="4" t="s">
        <v>646</v>
      </c>
      <c r="H135" s="4" t="s">
        <v>646</v>
      </c>
      <c r="I135" s="4" t="s">
        <v>646</v>
      </c>
      <c r="J135" s="4" t="s">
        <v>646</v>
      </c>
      <c r="K135" s="4" t="s">
        <v>646</v>
      </c>
      <c r="L135" s="4" t="s">
        <v>646</v>
      </c>
      <c r="M135" s="4" t="s">
        <v>646</v>
      </c>
      <c r="N135" s="4" t="s">
        <v>646</v>
      </c>
      <c r="O135">
        <f t="shared" si="6"/>
        <v>12</v>
      </c>
      <c r="P135">
        <f t="shared" si="7"/>
        <v>0</v>
      </c>
      <c r="Q135" t="str">
        <f t="shared" si="8"/>
        <v>Normal</v>
      </c>
    </row>
    <row r="136" spans="1:17" ht="13.2" x14ac:dyDescent="0.25">
      <c r="A136" s="2" t="s">
        <v>781</v>
      </c>
      <c r="B136" s="2" t="s">
        <v>291</v>
      </c>
      <c r="C136" s="4" t="s">
        <v>646</v>
      </c>
      <c r="D136" s="4" t="s">
        <v>646</v>
      </c>
      <c r="E136" s="4" t="s">
        <v>646</v>
      </c>
      <c r="F136" s="4" t="s">
        <v>646</v>
      </c>
      <c r="G136" s="4" t="s">
        <v>646</v>
      </c>
      <c r="H136" s="4" t="s">
        <v>646</v>
      </c>
      <c r="I136" s="4" t="s">
        <v>646</v>
      </c>
      <c r="J136" s="4" t="s">
        <v>646</v>
      </c>
      <c r="K136" s="4" t="s">
        <v>646</v>
      </c>
      <c r="L136" s="4" t="s">
        <v>646</v>
      </c>
      <c r="M136" s="4" t="s">
        <v>646</v>
      </c>
      <c r="N136" s="4" t="s">
        <v>646</v>
      </c>
      <c r="O136">
        <f t="shared" si="6"/>
        <v>12</v>
      </c>
      <c r="P136">
        <f t="shared" si="7"/>
        <v>0</v>
      </c>
      <c r="Q136" t="str">
        <f t="shared" si="8"/>
        <v>Normal</v>
      </c>
    </row>
    <row r="137" spans="1:17" ht="13.2" x14ac:dyDescent="0.25">
      <c r="A137" s="2" t="s">
        <v>782</v>
      </c>
      <c r="B137" s="2" t="s">
        <v>285</v>
      </c>
      <c r="C137" s="4" t="s">
        <v>646</v>
      </c>
      <c r="D137" s="4" t="s">
        <v>646</v>
      </c>
      <c r="E137" s="4" t="s">
        <v>646</v>
      </c>
      <c r="F137" s="4" t="s">
        <v>646</v>
      </c>
      <c r="G137" s="4" t="s">
        <v>646</v>
      </c>
      <c r="H137" s="4" t="s">
        <v>646</v>
      </c>
      <c r="I137" s="4" t="s">
        <v>646</v>
      </c>
      <c r="J137" s="4" t="s">
        <v>646</v>
      </c>
      <c r="K137" s="4" t="s">
        <v>646</v>
      </c>
      <c r="L137" s="4" t="s">
        <v>646</v>
      </c>
      <c r="M137" s="4" t="s">
        <v>646</v>
      </c>
      <c r="N137" s="4" t="s">
        <v>646</v>
      </c>
      <c r="O137">
        <f t="shared" si="6"/>
        <v>12</v>
      </c>
      <c r="P137">
        <f t="shared" si="7"/>
        <v>0</v>
      </c>
      <c r="Q137" t="str">
        <f t="shared" si="8"/>
        <v>Normal</v>
      </c>
    </row>
    <row r="138" spans="1:17" ht="13.2" x14ac:dyDescent="0.25">
      <c r="A138" s="2" t="s">
        <v>783</v>
      </c>
      <c r="B138" s="2" t="s">
        <v>66</v>
      </c>
      <c r="C138" s="4" t="s">
        <v>646</v>
      </c>
      <c r="D138" s="4" t="s">
        <v>646</v>
      </c>
      <c r="E138" s="4" t="s">
        <v>646</v>
      </c>
      <c r="F138" s="4" t="s">
        <v>646</v>
      </c>
      <c r="G138" s="4" t="s">
        <v>646</v>
      </c>
      <c r="H138" s="4" t="s">
        <v>646</v>
      </c>
      <c r="I138" s="4" t="s">
        <v>646</v>
      </c>
      <c r="J138" s="4" t="s">
        <v>646</v>
      </c>
      <c r="K138" s="4" t="s">
        <v>646</v>
      </c>
      <c r="L138" s="4" t="s">
        <v>646</v>
      </c>
      <c r="M138" s="4" t="s">
        <v>646</v>
      </c>
      <c r="N138" s="4" t="s">
        <v>646</v>
      </c>
      <c r="O138">
        <f t="shared" si="6"/>
        <v>12</v>
      </c>
      <c r="P138">
        <f t="shared" si="7"/>
        <v>0</v>
      </c>
      <c r="Q138" t="str">
        <f t="shared" si="8"/>
        <v>Normal</v>
      </c>
    </row>
    <row r="139" spans="1:17" ht="13.2" x14ac:dyDescent="0.25">
      <c r="A139" s="2" t="s">
        <v>784</v>
      </c>
      <c r="B139" s="2" t="s">
        <v>270</v>
      </c>
      <c r="C139" s="4" t="s">
        <v>646</v>
      </c>
      <c r="D139" s="4" t="s">
        <v>646</v>
      </c>
      <c r="E139" s="4" t="s">
        <v>646</v>
      </c>
      <c r="F139" s="4" t="s">
        <v>646</v>
      </c>
      <c r="G139" s="4" t="s">
        <v>646</v>
      </c>
      <c r="H139" s="4" t="s">
        <v>646</v>
      </c>
      <c r="I139" s="4" t="s">
        <v>646</v>
      </c>
      <c r="J139" s="4" t="s">
        <v>646</v>
      </c>
      <c r="K139" s="4" t="s">
        <v>646</v>
      </c>
      <c r="L139" s="4" t="s">
        <v>646</v>
      </c>
      <c r="M139" s="4" t="s">
        <v>646</v>
      </c>
      <c r="N139" s="4" t="s">
        <v>646</v>
      </c>
      <c r="O139">
        <f t="shared" si="6"/>
        <v>12</v>
      </c>
      <c r="P139">
        <f t="shared" si="7"/>
        <v>0</v>
      </c>
      <c r="Q139" t="str">
        <f t="shared" si="8"/>
        <v>Normal</v>
      </c>
    </row>
    <row r="140" spans="1:17" ht="13.2" x14ac:dyDescent="0.25">
      <c r="A140" s="2" t="s">
        <v>785</v>
      </c>
      <c r="B140" s="2" t="s">
        <v>267</v>
      </c>
      <c r="C140" s="4" t="s">
        <v>646</v>
      </c>
      <c r="D140" s="4" t="s">
        <v>646</v>
      </c>
      <c r="E140" s="4" t="s">
        <v>646</v>
      </c>
      <c r="F140" s="4" t="s">
        <v>646</v>
      </c>
      <c r="G140" s="4" t="s">
        <v>646</v>
      </c>
      <c r="H140" s="4" t="s">
        <v>646</v>
      </c>
      <c r="I140" s="4" t="s">
        <v>646</v>
      </c>
      <c r="J140" s="4" t="s">
        <v>646</v>
      </c>
      <c r="K140" s="4" t="s">
        <v>646</v>
      </c>
      <c r="L140" s="4" t="s">
        <v>646</v>
      </c>
      <c r="M140" s="4" t="s">
        <v>646</v>
      </c>
      <c r="N140" s="4" t="s">
        <v>646</v>
      </c>
      <c r="O140">
        <f t="shared" si="6"/>
        <v>12</v>
      </c>
      <c r="P140">
        <f t="shared" si="7"/>
        <v>0</v>
      </c>
      <c r="Q140" t="str">
        <f t="shared" si="8"/>
        <v>Normal</v>
      </c>
    </row>
    <row r="141" spans="1:17" ht="13.2" x14ac:dyDescent="0.25">
      <c r="A141" s="2" t="s">
        <v>786</v>
      </c>
      <c r="B141" s="2" t="s">
        <v>327</v>
      </c>
      <c r="C141" s="4" t="s">
        <v>646</v>
      </c>
      <c r="D141" s="4" t="s">
        <v>646</v>
      </c>
      <c r="E141" s="4" t="s">
        <v>646</v>
      </c>
      <c r="F141" s="4" t="s">
        <v>646</v>
      </c>
      <c r="G141" s="4" t="s">
        <v>646</v>
      </c>
      <c r="H141" s="4" t="s">
        <v>646</v>
      </c>
      <c r="I141" s="4" t="s">
        <v>646</v>
      </c>
      <c r="J141" s="4" t="s">
        <v>646</v>
      </c>
      <c r="K141" s="4" t="s">
        <v>646</v>
      </c>
      <c r="L141" s="4" t="s">
        <v>646</v>
      </c>
      <c r="M141" s="4" t="s">
        <v>646</v>
      </c>
      <c r="N141" s="4" t="s">
        <v>646</v>
      </c>
      <c r="O141">
        <f t="shared" si="6"/>
        <v>12</v>
      </c>
      <c r="P141">
        <f t="shared" si="7"/>
        <v>0</v>
      </c>
      <c r="Q141" t="str">
        <f t="shared" si="8"/>
        <v>Normal</v>
      </c>
    </row>
    <row r="142" spans="1:17" ht="13.2" x14ac:dyDescent="0.25">
      <c r="A142" s="2" t="s">
        <v>787</v>
      </c>
      <c r="B142" s="2" t="s">
        <v>314</v>
      </c>
      <c r="C142" s="4" t="s">
        <v>646</v>
      </c>
      <c r="D142" s="4" t="s">
        <v>646</v>
      </c>
      <c r="E142" s="4" t="s">
        <v>646</v>
      </c>
      <c r="F142" s="4" t="s">
        <v>646</v>
      </c>
      <c r="G142" s="4" t="s">
        <v>646</v>
      </c>
      <c r="H142" s="4" t="s">
        <v>646</v>
      </c>
      <c r="I142" s="4" t="s">
        <v>646</v>
      </c>
      <c r="J142" s="4" t="s">
        <v>646</v>
      </c>
      <c r="K142" s="4" t="s">
        <v>646</v>
      </c>
      <c r="L142" s="4" t="s">
        <v>646</v>
      </c>
      <c r="M142" s="4" t="s">
        <v>646</v>
      </c>
      <c r="N142" s="4" t="s">
        <v>646</v>
      </c>
      <c r="O142">
        <f t="shared" si="6"/>
        <v>12</v>
      </c>
      <c r="P142">
        <f t="shared" si="7"/>
        <v>0</v>
      </c>
      <c r="Q142" t="str">
        <f t="shared" si="8"/>
        <v>Normal</v>
      </c>
    </row>
    <row r="143" spans="1:17" ht="13.2" x14ac:dyDescent="0.25">
      <c r="A143" s="2" t="s">
        <v>788</v>
      </c>
      <c r="B143" s="2" t="s">
        <v>264</v>
      </c>
      <c r="C143" s="4" t="s">
        <v>646</v>
      </c>
      <c r="D143" s="4" t="s">
        <v>646</v>
      </c>
      <c r="E143" s="4" t="s">
        <v>646</v>
      </c>
      <c r="F143" s="4" t="s">
        <v>646</v>
      </c>
      <c r="G143" s="4" t="s">
        <v>646</v>
      </c>
      <c r="H143" s="4" t="s">
        <v>646</v>
      </c>
      <c r="I143" s="4" t="s">
        <v>646</v>
      </c>
      <c r="J143" s="4" t="s">
        <v>646</v>
      </c>
      <c r="K143" s="4" t="s">
        <v>646</v>
      </c>
      <c r="L143" s="4" t="s">
        <v>646</v>
      </c>
      <c r="M143" s="4" t="s">
        <v>646</v>
      </c>
      <c r="N143" s="4" t="s">
        <v>646</v>
      </c>
      <c r="O143">
        <f t="shared" si="6"/>
        <v>12</v>
      </c>
      <c r="P143">
        <f t="shared" si="7"/>
        <v>0</v>
      </c>
      <c r="Q143" t="str">
        <f t="shared" si="8"/>
        <v>Normal</v>
      </c>
    </row>
    <row r="144" spans="1:17" ht="13.2" x14ac:dyDescent="0.25">
      <c r="A144" s="2" t="s">
        <v>789</v>
      </c>
      <c r="B144" s="2" t="s">
        <v>260</v>
      </c>
      <c r="C144" s="4" t="s">
        <v>646</v>
      </c>
      <c r="D144" s="4" t="s">
        <v>646</v>
      </c>
      <c r="E144" s="4" t="s">
        <v>646</v>
      </c>
      <c r="F144" s="4" t="s">
        <v>646</v>
      </c>
      <c r="G144" s="4" t="s">
        <v>646</v>
      </c>
      <c r="H144" s="4" t="s">
        <v>646</v>
      </c>
      <c r="I144" s="4" t="s">
        <v>646</v>
      </c>
      <c r="J144" s="4" t="s">
        <v>646</v>
      </c>
      <c r="K144" s="4" t="s">
        <v>646</v>
      </c>
      <c r="L144" s="4" t="s">
        <v>646</v>
      </c>
      <c r="M144" s="4" t="s">
        <v>646</v>
      </c>
      <c r="N144" s="4" t="s">
        <v>646</v>
      </c>
      <c r="O144">
        <f t="shared" si="6"/>
        <v>12</v>
      </c>
      <c r="P144">
        <f t="shared" si="7"/>
        <v>0</v>
      </c>
      <c r="Q144" t="str">
        <f t="shared" si="8"/>
        <v>Normal</v>
      </c>
    </row>
    <row r="145" spans="1:17" ht="13.2" x14ac:dyDescent="0.25">
      <c r="A145" s="2" t="s">
        <v>790</v>
      </c>
      <c r="B145" s="2" t="s">
        <v>262</v>
      </c>
      <c r="C145" s="4" t="s">
        <v>646</v>
      </c>
      <c r="D145" s="4" t="s">
        <v>646</v>
      </c>
      <c r="E145" s="4" t="s">
        <v>646</v>
      </c>
      <c r="F145" s="4" t="s">
        <v>646</v>
      </c>
      <c r="G145" s="4" t="s">
        <v>646</v>
      </c>
      <c r="H145" s="4" t="s">
        <v>646</v>
      </c>
      <c r="I145" s="4" t="s">
        <v>646</v>
      </c>
      <c r="J145" s="4" t="s">
        <v>646</v>
      </c>
      <c r="K145" s="4" t="s">
        <v>646</v>
      </c>
      <c r="L145" s="4" t="s">
        <v>646</v>
      </c>
      <c r="M145" s="4" t="s">
        <v>646</v>
      </c>
      <c r="N145" s="4" t="s">
        <v>646</v>
      </c>
      <c r="O145">
        <f t="shared" si="6"/>
        <v>12</v>
      </c>
      <c r="P145">
        <f t="shared" si="7"/>
        <v>0</v>
      </c>
      <c r="Q145" t="str">
        <f t="shared" si="8"/>
        <v>Normal</v>
      </c>
    </row>
    <row r="146" spans="1:17" ht="13.2" x14ac:dyDescent="0.25">
      <c r="A146" s="2" t="s">
        <v>791</v>
      </c>
      <c r="B146" s="2" t="s">
        <v>257</v>
      </c>
      <c r="C146" s="4" t="s">
        <v>646</v>
      </c>
      <c r="D146" s="4" t="s">
        <v>646</v>
      </c>
      <c r="E146" s="4" t="s">
        <v>646</v>
      </c>
      <c r="F146" s="4" t="s">
        <v>646</v>
      </c>
      <c r="G146" s="4" t="s">
        <v>646</v>
      </c>
      <c r="H146" s="4" t="s">
        <v>646</v>
      </c>
      <c r="I146" s="4" t="s">
        <v>646</v>
      </c>
      <c r="J146" s="4" t="s">
        <v>646</v>
      </c>
      <c r="K146" s="4" t="s">
        <v>646</v>
      </c>
      <c r="L146" s="4" t="s">
        <v>646</v>
      </c>
      <c r="M146" s="4" t="s">
        <v>646</v>
      </c>
      <c r="N146" s="4" t="s">
        <v>646</v>
      </c>
      <c r="O146">
        <f t="shared" si="6"/>
        <v>12</v>
      </c>
      <c r="P146">
        <f t="shared" si="7"/>
        <v>0</v>
      </c>
      <c r="Q146" t="str">
        <f t="shared" si="8"/>
        <v>Normal</v>
      </c>
    </row>
    <row r="147" spans="1:17" ht="13.2" x14ac:dyDescent="0.25">
      <c r="A147" s="2" t="s">
        <v>792</v>
      </c>
      <c r="B147" s="2" t="s">
        <v>248</v>
      </c>
      <c r="C147" s="4" t="s">
        <v>646</v>
      </c>
      <c r="D147" s="4" t="s">
        <v>646</v>
      </c>
      <c r="E147" s="4" t="s">
        <v>646</v>
      </c>
      <c r="F147" s="4" t="s">
        <v>646</v>
      </c>
      <c r="G147" s="4" t="s">
        <v>646</v>
      </c>
      <c r="H147" s="4" t="s">
        <v>646</v>
      </c>
      <c r="I147" s="4" t="s">
        <v>646</v>
      </c>
      <c r="J147" s="4" t="s">
        <v>646</v>
      </c>
      <c r="K147" s="4" t="s">
        <v>646</v>
      </c>
      <c r="L147" s="4" t="s">
        <v>646</v>
      </c>
      <c r="M147" s="4" t="s">
        <v>646</v>
      </c>
      <c r="N147" s="4" t="s">
        <v>646</v>
      </c>
      <c r="O147">
        <f t="shared" si="6"/>
        <v>12</v>
      </c>
      <c r="P147">
        <f t="shared" si="7"/>
        <v>0</v>
      </c>
      <c r="Q147" t="str">
        <f t="shared" si="8"/>
        <v>Normal</v>
      </c>
    </row>
    <row r="148" spans="1:17" ht="13.2" x14ac:dyDescent="0.25">
      <c r="A148" s="2" t="s">
        <v>793</v>
      </c>
      <c r="B148" s="2" t="s">
        <v>300</v>
      </c>
      <c r="C148" s="4" t="s">
        <v>646</v>
      </c>
      <c r="D148" s="4" t="s">
        <v>646</v>
      </c>
      <c r="E148" s="4" t="s">
        <v>646</v>
      </c>
      <c r="F148" s="4" t="s">
        <v>646</v>
      </c>
      <c r="G148" s="4" t="s">
        <v>646</v>
      </c>
      <c r="H148" s="4" t="s">
        <v>646</v>
      </c>
      <c r="I148" s="4" t="s">
        <v>646</v>
      </c>
      <c r="J148" s="4" t="s">
        <v>646</v>
      </c>
      <c r="K148" s="4" t="s">
        <v>646</v>
      </c>
      <c r="L148" s="4" t="s">
        <v>646</v>
      </c>
      <c r="M148" s="4" t="s">
        <v>646</v>
      </c>
      <c r="N148" s="4" t="s">
        <v>646</v>
      </c>
      <c r="O148">
        <f t="shared" si="6"/>
        <v>12</v>
      </c>
      <c r="P148">
        <f t="shared" si="7"/>
        <v>0</v>
      </c>
      <c r="Q148" t="str">
        <f t="shared" si="8"/>
        <v>Normal</v>
      </c>
    </row>
    <row r="149" spans="1:17" ht="13.2" x14ac:dyDescent="0.25">
      <c r="A149" s="2" t="s">
        <v>794</v>
      </c>
      <c r="B149" s="2" t="s">
        <v>251</v>
      </c>
      <c r="C149" s="4" t="s">
        <v>646</v>
      </c>
      <c r="D149" s="4" t="s">
        <v>646</v>
      </c>
      <c r="E149" s="4" t="s">
        <v>646</v>
      </c>
      <c r="F149" s="4" t="s">
        <v>646</v>
      </c>
      <c r="G149" s="4" t="s">
        <v>646</v>
      </c>
      <c r="H149" s="4" t="s">
        <v>646</v>
      </c>
      <c r="I149" s="4" t="s">
        <v>646</v>
      </c>
      <c r="J149" s="4" t="s">
        <v>646</v>
      </c>
      <c r="K149" s="4" t="s">
        <v>646</v>
      </c>
      <c r="L149" s="4" t="s">
        <v>646</v>
      </c>
      <c r="M149" s="4" t="s">
        <v>646</v>
      </c>
      <c r="N149" s="4" t="s">
        <v>646</v>
      </c>
      <c r="O149">
        <f t="shared" si="6"/>
        <v>12</v>
      </c>
      <c r="P149">
        <f t="shared" si="7"/>
        <v>0</v>
      </c>
      <c r="Q149" t="str">
        <f t="shared" si="8"/>
        <v>Normal</v>
      </c>
    </row>
    <row r="150" spans="1:17" ht="13.2" x14ac:dyDescent="0.25">
      <c r="A150" s="2" t="s">
        <v>795</v>
      </c>
      <c r="B150" s="2" t="s">
        <v>245</v>
      </c>
      <c r="C150" s="4" t="s">
        <v>646</v>
      </c>
      <c r="D150" s="4" t="s">
        <v>646</v>
      </c>
      <c r="E150" s="4" t="s">
        <v>646</v>
      </c>
      <c r="F150" s="4" t="s">
        <v>646</v>
      </c>
      <c r="G150" s="4" t="s">
        <v>646</v>
      </c>
      <c r="H150" s="4" t="s">
        <v>646</v>
      </c>
      <c r="I150" s="4" t="s">
        <v>646</v>
      </c>
      <c r="J150" s="4" t="s">
        <v>646</v>
      </c>
      <c r="K150" s="4" t="s">
        <v>646</v>
      </c>
      <c r="L150" s="4" t="s">
        <v>646</v>
      </c>
      <c r="M150" s="4" t="s">
        <v>646</v>
      </c>
      <c r="N150" s="4" t="s">
        <v>646</v>
      </c>
      <c r="O150">
        <f t="shared" si="6"/>
        <v>12</v>
      </c>
      <c r="P150">
        <f t="shared" si="7"/>
        <v>0</v>
      </c>
      <c r="Q150" t="str">
        <f t="shared" si="8"/>
        <v>Normal</v>
      </c>
    </row>
    <row r="151" spans="1:17" ht="13.2" x14ac:dyDescent="0.25">
      <c r="A151" s="2" t="s">
        <v>796</v>
      </c>
      <c r="B151" s="2" t="s">
        <v>238</v>
      </c>
      <c r="C151" s="4" t="s">
        <v>646</v>
      </c>
      <c r="D151" s="4" t="s">
        <v>646</v>
      </c>
      <c r="E151" s="4" t="s">
        <v>646</v>
      </c>
      <c r="F151" s="4" t="s">
        <v>646</v>
      </c>
      <c r="G151" s="4" t="s">
        <v>646</v>
      </c>
      <c r="H151" s="4" t="s">
        <v>646</v>
      </c>
      <c r="I151" s="4" t="s">
        <v>646</v>
      </c>
      <c r="J151" s="4" t="s">
        <v>646</v>
      </c>
      <c r="K151" s="4" t="s">
        <v>646</v>
      </c>
      <c r="L151" s="4" t="s">
        <v>646</v>
      </c>
      <c r="M151" s="4" t="s">
        <v>646</v>
      </c>
      <c r="N151" s="4" t="s">
        <v>646</v>
      </c>
      <c r="O151">
        <f t="shared" si="6"/>
        <v>12</v>
      </c>
      <c r="P151">
        <f t="shared" si="7"/>
        <v>0</v>
      </c>
      <c r="Q151" t="str">
        <f t="shared" si="8"/>
        <v>Normal</v>
      </c>
    </row>
    <row r="152" spans="1:17" ht="13.2" x14ac:dyDescent="0.25">
      <c r="A152" s="2" t="s">
        <v>797</v>
      </c>
      <c r="B152" s="2" t="s">
        <v>465</v>
      </c>
      <c r="C152" s="4" t="s">
        <v>646</v>
      </c>
      <c r="D152" s="4" t="s">
        <v>646</v>
      </c>
      <c r="E152" s="4" t="s">
        <v>646</v>
      </c>
      <c r="F152" s="4" t="s">
        <v>646</v>
      </c>
      <c r="G152" s="4" t="s">
        <v>646</v>
      </c>
      <c r="H152" s="4" t="s">
        <v>646</v>
      </c>
      <c r="I152" s="4" t="s">
        <v>646</v>
      </c>
      <c r="J152" s="4" t="s">
        <v>646</v>
      </c>
      <c r="K152" s="4" t="s">
        <v>646</v>
      </c>
      <c r="L152" s="4" t="s">
        <v>646</v>
      </c>
      <c r="M152" s="4" t="s">
        <v>646</v>
      </c>
      <c r="N152" s="4" t="s">
        <v>646</v>
      </c>
      <c r="O152">
        <f t="shared" si="6"/>
        <v>12</v>
      </c>
      <c r="P152">
        <f t="shared" si="7"/>
        <v>0</v>
      </c>
      <c r="Q152" t="str">
        <f t="shared" si="8"/>
        <v>Normal</v>
      </c>
    </row>
    <row r="153" spans="1:17" ht="13.2" x14ac:dyDescent="0.25">
      <c r="A153" s="2" t="s">
        <v>798</v>
      </c>
      <c r="B153" s="2" t="s">
        <v>232</v>
      </c>
      <c r="C153" s="4" t="s">
        <v>646</v>
      </c>
      <c r="D153" s="4" t="s">
        <v>646</v>
      </c>
      <c r="E153" s="4" t="s">
        <v>646</v>
      </c>
      <c r="F153" s="4" t="s">
        <v>646</v>
      </c>
      <c r="G153" s="4" t="s">
        <v>646</v>
      </c>
      <c r="H153" s="4" t="s">
        <v>646</v>
      </c>
      <c r="I153" s="4" t="s">
        <v>646</v>
      </c>
      <c r="J153" s="4" t="s">
        <v>646</v>
      </c>
      <c r="K153" s="4" t="s">
        <v>646</v>
      </c>
      <c r="L153" s="4" t="s">
        <v>646</v>
      </c>
      <c r="M153" s="4" t="s">
        <v>646</v>
      </c>
      <c r="N153" s="4" t="s">
        <v>646</v>
      </c>
      <c r="O153">
        <f t="shared" si="6"/>
        <v>12</v>
      </c>
      <c r="P153">
        <f t="shared" si="7"/>
        <v>0</v>
      </c>
      <c r="Q153" t="str">
        <f t="shared" si="8"/>
        <v>Normal</v>
      </c>
    </row>
    <row r="154" spans="1:17" ht="13.2" x14ac:dyDescent="0.25">
      <c r="A154" s="2" t="s">
        <v>799</v>
      </c>
      <c r="B154" s="2" t="s">
        <v>229</v>
      </c>
      <c r="C154" s="4" t="s">
        <v>646</v>
      </c>
      <c r="D154" s="4" t="s">
        <v>646</v>
      </c>
      <c r="E154" s="4" t="s">
        <v>646</v>
      </c>
      <c r="F154" s="4" t="s">
        <v>646</v>
      </c>
      <c r="G154" s="4" t="s">
        <v>646</v>
      </c>
      <c r="H154" s="4" t="s">
        <v>646</v>
      </c>
      <c r="I154" s="4" t="s">
        <v>646</v>
      </c>
      <c r="J154" s="4" t="s">
        <v>646</v>
      </c>
      <c r="K154" s="4" t="s">
        <v>646</v>
      </c>
      <c r="L154" s="4" t="s">
        <v>646</v>
      </c>
      <c r="M154" s="4" t="s">
        <v>646</v>
      </c>
      <c r="N154" s="4" t="s">
        <v>646</v>
      </c>
      <c r="O154">
        <f t="shared" si="6"/>
        <v>12</v>
      </c>
      <c r="P154">
        <f t="shared" si="7"/>
        <v>0</v>
      </c>
      <c r="Q154" t="str">
        <f t="shared" si="8"/>
        <v>Normal</v>
      </c>
    </row>
    <row r="155" spans="1:17" ht="13.2" x14ac:dyDescent="0.25">
      <c r="A155" s="2" t="s">
        <v>800</v>
      </c>
      <c r="B155" s="2" t="s">
        <v>544</v>
      </c>
      <c r="C155" s="4" t="s">
        <v>646</v>
      </c>
      <c r="D155" s="4" t="s">
        <v>646</v>
      </c>
      <c r="E155" s="4" t="s">
        <v>646</v>
      </c>
      <c r="F155" s="4" t="s">
        <v>646</v>
      </c>
      <c r="G155" s="4" t="s">
        <v>646</v>
      </c>
      <c r="H155" s="4" t="s">
        <v>646</v>
      </c>
      <c r="I155" s="4" t="s">
        <v>646</v>
      </c>
      <c r="J155" s="4" t="s">
        <v>646</v>
      </c>
      <c r="K155" s="4" t="s">
        <v>646</v>
      </c>
      <c r="L155" s="4" t="s">
        <v>646</v>
      </c>
      <c r="M155" s="4" t="s">
        <v>646</v>
      </c>
      <c r="N155" s="4" t="s">
        <v>646</v>
      </c>
      <c r="O155">
        <f t="shared" si="6"/>
        <v>12</v>
      </c>
      <c r="P155">
        <f t="shared" si="7"/>
        <v>0</v>
      </c>
      <c r="Q155" t="str">
        <f t="shared" si="8"/>
        <v>Normal</v>
      </c>
    </row>
    <row r="156" spans="1:17" ht="13.2" x14ac:dyDescent="0.25">
      <c r="A156" s="2" t="s">
        <v>801</v>
      </c>
      <c r="B156" s="2" t="s">
        <v>294</v>
      </c>
      <c r="C156" s="4" t="s">
        <v>646</v>
      </c>
      <c r="D156" s="4" t="s">
        <v>646</v>
      </c>
      <c r="E156" s="4" t="s">
        <v>646</v>
      </c>
      <c r="F156" s="4" t="s">
        <v>646</v>
      </c>
      <c r="G156" s="4" t="s">
        <v>646</v>
      </c>
      <c r="H156" s="4" t="s">
        <v>646</v>
      </c>
      <c r="I156" s="4" t="s">
        <v>646</v>
      </c>
      <c r="J156" s="4" t="s">
        <v>646</v>
      </c>
      <c r="K156" s="4" t="s">
        <v>646</v>
      </c>
      <c r="L156" s="4" t="s">
        <v>646</v>
      </c>
      <c r="M156" s="4" t="s">
        <v>646</v>
      </c>
      <c r="N156" s="4" t="s">
        <v>646</v>
      </c>
      <c r="O156">
        <f t="shared" si="6"/>
        <v>12</v>
      </c>
      <c r="P156">
        <f t="shared" si="7"/>
        <v>0</v>
      </c>
      <c r="Q156" t="str">
        <f t="shared" si="8"/>
        <v>Normal</v>
      </c>
    </row>
    <row r="157" spans="1:17" ht="13.2" x14ac:dyDescent="0.25">
      <c r="A157" s="2" t="s">
        <v>802</v>
      </c>
      <c r="B157" s="2" t="s">
        <v>439</v>
      </c>
      <c r="C157" s="4" t="s">
        <v>646</v>
      </c>
      <c r="D157" s="4" t="s">
        <v>646</v>
      </c>
      <c r="E157" s="4" t="s">
        <v>646</v>
      </c>
      <c r="F157" s="4" t="s">
        <v>646</v>
      </c>
      <c r="G157" s="4" t="s">
        <v>646</v>
      </c>
      <c r="H157" s="4" t="s">
        <v>646</v>
      </c>
      <c r="I157" s="4" t="s">
        <v>646</v>
      </c>
      <c r="J157" s="4" t="s">
        <v>646</v>
      </c>
      <c r="K157" s="4" t="s">
        <v>646</v>
      </c>
      <c r="L157" s="4" t="s">
        <v>646</v>
      </c>
      <c r="M157" s="4" t="s">
        <v>646</v>
      </c>
      <c r="N157" s="4" t="s">
        <v>646</v>
      </c>
      <c r="O157">
        <f t="shared" si="6"/>
        <v>12</v>
      </c>
      <c r="P157">
        <f t="shared" si="7"/>
        <v>0</v>
      </c>
      <c r="Q157" t="str">
        <f t="shared" si="8"/>
        <v>Normal</v>
      </c>
    </row>
    <row r="158" spans="1:17" ht="13.2" x14ac:dyDescent="0.25">
      <c r="A158" s="2" t="s">
        <v>803</v>
      </c>
      <c r="B158" s="2" t="s">
        <v>226</v>
      </c>
      <c r="C158" s="4" t="s">
        <v>646</v>
      </c>
      <c r="D158" s="4" t="s">
        <v>646</v>
      </c>
      <c r="E158" s="4" t="s">
        <v>646</v>
      </c>
      <c r="F158" s="4" t="s">
        <v>646</v>
      </c>
      <c r="G158" s="4" t="s">
        <v>646</v>
      </c>
      <c r="H158" s="4" t="s">
        <v>646</v>
      </c>
      <c r="I158" s="4" t="s">
        <v>646</v>
      </c>
      <c r="J158" s="4" t="s">
        <v>646</v>
      </c>
      <c r="K158" s="4" t="s">
        <v>646</v>
      </c>
      <c r="L158" s="4" t="s">
        <v>646</v>
      </c>
      <c r="M158" s="4" t="s">
        <v>646</v>
      </c>
      <c r="N158" s="4" t="s">
        <v>646</v>
      </c>
      <c r="O158">
        <f t="shared" si="6"/>
        <v>12</v>
      </c>
      <c r="P158">
        <f t="shared" si="7"/>
        <v>0</v>
      </c>
      <c r="Q158" t="str">
        <f t="shared" si="8"/>
        <v>Normal</v>
      </c>
    </row>
    <row r="159" spans="1:17" ht="13.2" x14ac:dyDescent="0.25">
      <c r="A159" s="2" t="s">
        <v>804</v>
      </c>
      <c r="B159" s="2" t="s">
        <v>223</v>
      </c>
      <c r="C159" s="4" t="s">
        <v>646</v>
      </c>
      <c r="D159" s="4" t="s">
        <v>646</v>
      </c>
      <c r="E159" s="4" t="s">
        <v>646</v>
      </c>
      <c r="F159" s="4" t="s">
        <v>646</v>
      </c>
      <c r="G159" s="4" t="s">
        <v>646</v>
      </c>
      <c r="H159" s="4" t="s">
        <v>646</v>
      </c>
      <c r="I159" s="4" t="s">
        <v>646</v>
      </c>
      <c r="J159" s="4" t="s">
        <v>646</v>
      </c>
      <c r="K159" s="4" t="s">
        <v>646</v>
      </c>
      <c r="L159" s="4" t="s">
        <v>646</v>
      </c>
      <c r="M159" s="4" t="s">
        <v>646</v>
      </c>
      <c r="N159" s="4" t="s">
        <v>646</v>
      </c>
      <c r="O159">
        <f t="shared" si="6"/>
        <v>12</v>
      </c>
      <c r="P159">
        <f t="shared" si="7"/>
        <v>0</v>
      </c>
      <c r="Q159" t="str">
        <f t="shared" si="8"/>
        <v>Normal</v>
      </c>
    </row>
    <row r="160" spans="1:17" ht="13.2" x14ac:dyDescent="0.25">
      <c r="A160" s="2" t="s">
        <v>805</v>
      </c>
      <c r="B160" s="2" t="s">
        <v>220</v>
      </c>
      <c r="C160" s="4" t="s">
        <v>646</v>
      </c>
      <c r="D160" s="4" t="s">
        <v>646</v>
      </c>
      <c r="E160" s="4" t="s">
        <v>646</v>
      </c>
      <c r="F160" s="4" t="s">
        <v>646</v>
      </c>
      <c r="G160" s="4" t="s">
        <v>646</v>
      </c>
      <c r="H160" s="4" t="s">
        <v>646</v>
      </c>
      <c r="I160" s="4" t="s">
        <v>646</v>
      </c>
      <c r="J160" s="4" t="s">
        <v>646</v>
      </c>
      <c r="K160" s="4" t="s">
        <v>646</v>
      </c>
      <c r="L160" s="4" t="s">
        <v>646</v>
      </c>
      <c r="M160" s="4" t="s">
        <v>646</v>
      </c>
      <c r="N160" s="4" t="s">
        <v>646</v>
      </c>
      <c r="O160">
        <f t="shared" si="6"/>
        <v>12</v>
      </c>
      <c r="P160">
        <f t="shared" si="7"/>
        <v>0</v>
      </c>
      <c r="Q160" t="str">
        <f t="shared" si="8"/>
        <v>Normal</v>
      </c>
    </row>
    <row r="161" spans="1:17" ht="13.2" x14ac:dyDescent="0.25">
      <c r="A161" s="2" t="s">
        <v>806</v>
      </c>
      <c r="B161" s="2" t="s">
        <v>217</v>
      </c>
      <c r="C161" s="4" t="s">
        <v>646</v>
      </c>
      <c r="D161" s="4" t="s">
        <v>646</v>
      </c>
      <c r="E161" s="4" t="s">
        <v>646</v>
      </c>
      <c r="F161" s="4" t="s">
        <v>646</v>
      </c>
      <c r="G161" s="4" t="s">
        <v>646</v>
      </c>
      <c r="H161" s="4" t="s">
        <v>646</v>
      </c>
      <c r="I161" s="4" t="s">
        <v>646</v>
      </c>
      <c r="J161" s="4" t="s">
        <v>646</v>
      </c>
      <c r="K161" s="4" t="s">
        <v>646</v>
      </c>
      <c r="L161" s="4" t="s">
        <v>646</v>
      </c>
      <c r="M161" s="4" t="s">
        <v>646</v>
      </c>
      <c r="N161" s="4" t="s">
        <v>646</v>
      </c>
      <c r="O161">
        <f t="shared" si="6"/>
        <v>12</v>
      </c>
      <c r="P161">
        <f t="shared" si="7"/>
        <v>0</v>
      </c>
      <c r="Q161" t="str">
        <f t="shared" si="8"/>
        <v>Normal</v>
      </c>
    </row>
    <row r="162" spans="1:17" ht="13.2" x14ac:dyDescent="0.25">
      <c r="A162" s="2" t="s">
        <v>807</v>
      </c>
      <c r="B162" s="2" t="s">
        <v>368</v>
      </c>
      <c r="C162" s="4" t="s">
        <v>646</v>
      </c>
      <c r="D162" s="4" t="s">
        <v>646</v>
      </c>
      <c r="E162" s="4" t="s">
        <v>646</v>
      </c>
      <c r="F162" s="4" t="s">
        <v>646</v>
      </c>
      <c r="G162" s="4" t="s">
        <v>646</v>
      </c>
      <c r="H162" s="4" t="s">
        <v>646</v>
      </c>
      <c r="I162" s="4" t="s">
        <v>646</v>
      </c>
      <c r="J162" s="4" t="s">
        <v>646</v>
      </c>
      <c r="K162" s="4" t="s">
        <v>646</v>
      </c>
      <c r="L162" s="4" t="s">
        <v>646</v>
      </c>
      <c r="M162" s="4" t="s">
        <v>646</v>
      </c>
      <c r="N162" s="4" t="s">
        <v>646</v>
      </c>
      <c r="O162">
        <f t="shared" si="6"/>
        <v>12</v>
      </c>
      <c r="P162">
        <f t="shared" si="7"/>
        <v>0</v>
      </c>
      <c r="Q162" t="str">
        <f t="shared" si="8"/>
        <v>Normal</v>
      </c>
    </row>
    <row r="163" spans="1:17" ht="13.2" x14ac:dyDescent="0.25">
      <c r="A163" s="2" t="s">
        <v>808</v>
      </c>
      <c r="B163" s="2" t="s">
        <v>60</v>
      </c>
      <c r="C163" s="4" t="s">
        <v>646</v>
      </c>
      <c r="D163" s="4" t="s">
        <v>646</v>
      </c>
      <c r="E163" s="4" t="s">
        <v>646</v>
      </c>
      <c r="F163" s="4" t="s">
        <v>646</v>
      </c>
      <c r="G163" s="4" t="s">
        <v>646</v>
      </c>
      <c r="H163" s="4" t="s">
        <v>646</v>
      </c>
      <c r="I163" s="4" t="s">
        <v>646</v>
      </c>
      <c r="J163" s="4" t="s">
        <v>646</v>
      </c>
      <c r="K163" s="4" t="s">
        <v>646</v>
      </c>
      <c r="L163" s="4" t="s">
        <v>646</v>
      </c>
      <c r="M163" s="4" t="s">
        <v>646</v>
      </c>
      <c r="N163" s="4" t="s">
        <v>646</v>
      </c>
      <c r="O163">
        <f t="shared" si="6"/>
        <v>12</v>
      </c>
      <c r="P163">
        <f t="shared" si="7"/>
        <v>0</v>
      </c>
      <c r="Q163" t="str">
        <f t="shared" si="8"/>
        <v>Normal</v>
      </c>
    </row>
    <row r="164" spans="1:17" ht="13.2" x14ac:dyDescent="0.25">
      <c r="A164" s="2" t="s">
        <v>809</v>
      </c>
      <c r="B164" s="2" t="s">
        <v>211</v>
      </c>
      <c r="C164" s="4" t="s">
        <v>646</v>
      </c>
      <c r="D164" s="4" t="s">
        <v>646</v>
      </c>
      <c r="E164" s="4" t="s">
        <v>646</v>
      </c>
      <c r="F164" s="4" t="s">
        <v>646</v>
      </c>
      <c r="G164" s="4" t="s">
        <v>646</v>
      </c>
      <c r="H164" s="4" t="s">
        <v>646</v>
      </c>
      <c r="I164" s="4" t="s">
        <v>646</v>
      </c>
      <c r="J164" s="4" t="s">
        <v>646</v>
      </c>
      <c r="K164" s="4" t="s">
        <v>646</v>
      </c>
      <c r="L164" s="4" t="s">
        <v>646</v>
      </c>
      <c r="M164" s="4" t="s">
        <v>646</v>
      </c>
      <c r="N164" s="4" t="s">
        <v>646</v>
      </c>
      <c r="O164">
        <f t="shared" si="6"/>
        <v>12</v>
      </c>
      <c r="P164">
        <f t="shared" si="7"/>
        <v>0</v>
      </c>
      <c r="Q164" t="str">
        <f t="shared" si="8"/>
        <v>Normal</v>
      </c>
    </row>
    <row r="165" spans="1:17" ht="13.2" x14ac:dyDescent="0.25">
      <c r="A165" s="2" t="s">
        <v>810</v>
      </c>
      <c r="B165" s="2" t="s">
        <v>208</v>
      </c>
      <c r="C165" s="4" t="s">
        <v>646</v>
      </c>
      <c r="D165" s="4" t="s">
        <v>646</v>
      </c>
      <c r="E165" s="4" t="s">
        <v>646</v>
      </c>
      <c r="F165" s="4" t="s">
        <v>646</v>
      </c>
      <c r="G165" s="4" t="s">
        <v>646</v>
      </c>
      <c r="H165" s="4" t="s">
        <v>646</v>
      </c>
      <c r="I165" s="4" t="s">
        <v>646</v>
      </c>
      <c r="J165" s="4" t="s">
        <v>646</v>
      </c>
      <c r="K165" s="4" t="s">
        <v>646</v>
      </c>
      <c r="L165" s="4" t="s">
        <v>646</v>
      </c>
      <c r="M165" s="4" t="s">
        <v>646</v>
      </c>
      <c r="N165" s="4" t="s">
        <v>646</v>
      </c>
      <c r="O165">
        <f t="shared" si="6"/>
        <v>12</v>
      </c>
      <c r="P165">
        <f t="shared" si="7"/>
        <v>0</v>
      </c>
      <c r="Q165" t="str">
        <f t="shared" si="8"/>
        <v>Normal</v>
      </c>
    </row>
    <row r="166" spans="1:17" ht="13.2" x14ac:dyDescent="0.25">
      <c r="A166" s="2" t="s">
        <v>811</v>
      </c>
      <c r="B166" s="2" t="s">
        <v>205</v>
      </c>
      <c r="C166" s="4" t="s">
        <v>646</v>
      </c>
      <c r="D166" s="4" t="s">
        <v>646</v>
      </c>
      <c r="E166" s="4" t="s">
        <v>646</v>
      </c>
      <c r="F166" s="4" t="s">
        <v>646</v>
      </c>
      <c r="G166" s="4" t="s">
        <v>646</v>
      </c>
      <c r="H166" s="4" t="s">
        <v>646</v>
      </c>
      <c r="I166" s="4" t="s">
        <v>646</v>
      </c>
      <c r="J166" s="4" t="s">
        <v>646</v>
      </c>
      <c r="K166" s="4" t="s">
        <v>646</v>
      </c>
      <c r="L166" s="4" t="s">
        <v>646</v>
      </c>
      <c r="M166" s="4" t="s">
        <v>646</v>
      </c>
      <c r="N166" s="4" t="s">
        <v>646</v>
      </c>
      <c r="O166">
        <f t="shared" si="6"/>
        <v>12</v>
      </c>
      <c r="P166">
        <f t="shared" si="7"/>
        <v>0</v>
      </c>
      <c r="Q166" t="str">
        <f t="shared" si="8"/>
        <v>Normal</v>
      </c>
    </row>
    <row r="167" spans="1:17" ht="13.2" x14ac:dyDescent="0.25">
      <c r="A167" s="2" t="s">
        <v>812</v>
      </c>
      <c r="B167" s="2" t="s">
        <v>178</v>
      </c>
      <c r="C167" s="4" t="s">
        <v>646</v>
      </c>
      <c r="D167" s="4" t="s">
        <v>646</v>
      </c>
      <c r="E167" s="4" t="s">
        <v>646</v>
      </c>
      <c r="F167" s="4" t="s">
        <v>646</v>
      </c>
      <c r="G167" s="4" t="s">
        <v>646</v>
      </c>
      <c r="H167" s="4" t="s">
        <v>646</v>
      </c>
      <c r="I167" s="4" t="s">
        <v>646</v>
      </c>
      <c r="J167" s="4" t="s">
        <v>646</v>
      </c>
      <c r="K167" s="4" t="s">
        <v>646</v>
      </c>
      <c r="L167" s="4" t="s">
        <v>646</v>
      </c>
      <c r="M167" s="4" t="s">
        <v>646</v>
      </c>
      <c r="N167" s="4" t="s">
        <v>646</v>
      </c>
      <c r="O167">
        <f t="shared" si="6"/>
        <v>12</v>
      </c>
      <c r="P167">
        <f t="shared" si="7"/>
        <v>0</v>
      </c>
      <c r="Q167" t="str">
        <f t="shared" si="8"/>
        <v>Normal</v>
      </c>
    </row>
    <row r="168" spans="1:17" ht="13.2" x14ac:dyDescent="0.25">
      <c r="A168" s="2" t="s">
        <v>813</v>
      </c>
      <c r="B168" s="2" t="s">
        <v>288</v>
      </c>
      <c r="C168" s="4" t="s">
        <v>646</v>
      </c>
      <c r="D168" s="4" t="s">
        <v>646</v>
      </c>
      <c r="E168" s="4" t="s">
        <v>646</v>
      </c>
      <c r="F168" s="4" t="s">
        <v>646</v>
      </c>
      <c r="G168" s="4" t="s">
        <v>646</v>
      </c>
      <c r="H168" s="4" t="s">
        <v>646</v>
      </c>
      <c r="I168" s="4" t="s">
        <v>646</v>
      </c>
      <c r="J168" s="4" t="s">
        <v>646</v>
      </c>
      <c r="K168" s="4" t="s">
        <v>646</v>
      </c>
      <c r="L168" s="4" t="s">
        <v>646</v>
      </c>
      <c r="M168" s="4" t="s">
        <v>646</v>
      </c>
      <c r="N168" s="4" t="s">
        <v>646</v>
      </c>
      <c r="O168">
        <f t="shared" si="6"/>
        <v>12</v>
      </c>
      <c r="P168">
        <f t="shared" si="7"/>
        <v>0</v>
      </c>
      <c r="Q168" t="str">
        <f t="shared" si="8"/>
        <v>Normal</v>
      </c>
    </row>
    <row r="169" spans="1:17" ht="13.2" x14ac:dyDescent="0.25">
      <c r="A169" s="2" t="s">
        <v>814</v>
      </c>
      <c r="B169" s="2" t="s">
        <v>175</v>
      </c>
      <c r="C169" s="4" t="s">
        <v>646</v>
      </c>
      <c r="D169" s="4" t="s">
        <v>646</v>
      </c>
      <c r="E169" s="4" t="s">
        <v>646</v>
      </c>
      <c r="F169" s="4" t="s">
        <v>646</v>
      </c>
      <c r="G169" s="4" t="s">
        <v>646</v>
      </c>
      <c r="H169" s="4" t="s">
        <v>646</v>
      </c>
      <c r="I169" s="4" t="s">
        <v>646</v>
      </c>
      <c r="J169" s="4" t="s">
        <v>646</v>
      </c>
      <c r="K169" s="4" t="s">
        <v>646</v>
      </c>
      <c r="L169" s="4" t="s">
        <v>646</v>
      </c>
      <c r="M169" s="4" t="s">
        <v>646</v>
      </c>
      <c r="N169" s="4" t="s">
        <v>646</v>
      </c>
      <c r="O169">
        <f t="shared" si="6"/>
        <v>12</v>
      </c>
      <c r="P169">
        <f t="shared" si="7"/>
        <v>0</v>
      </c>
      <c r="Q169" t="str">
        <f t="shared" si="8"/>
        <v>Normal</v>
      </c>
    </row>
    <row r="170" spans="1:17" ht="13.2" x14ac:dyDescent="0.25">
      <c r="A170" s="2" t="s">
        <v>815</v>
      </c>
      <c r="B170" s="2" t="s">
        <v>193</v>
      </c>
      <c r="C170" s="4" t="s">
        <v>646</v>
      </c>
      <c r="D170" s="4" t="s">
        <v>646</v>
      </c>
      <c r="E170" s="4" t="s">
        <v>646</v>
      </c>
      <c r="F170" s="4" t="s">
        <v>646</v>
      </c>
      <c r="G170" s="4" t="s">
        <v>646</v>
      </c>
      <c r="H170" s="4" t="s">
        <v>646</v>
      </c>
      <c r="I170" s="4" t="s">
        <v>646</v>
      </c>
      <c r="J170" s="4" t="s">
        <v>646</v>
      </c>
      <c r="K170" s="4" t="s">
        <v>646</v>
      </c>
      <c r="L170" s="4" t="s">
        <v>646</v>
      </c>
      <c r="M170" s="4" t="s">
        <v>646</v>
      </c>
      <c r="N170" s="4" t="s">
        <v>646</v>
      </c>
      <c r="O170">
        <f t="shared" si="6"/>
        <v>12</v>
      </c>
      <c r="P170">
        <f t="shared" si="7"/>
        <v>0</v>
      </c>
      <c r="Q170" t="str">
        <f t="shared" si="8"/>
        <v>Normal</v>
      </c>
    </row>
    <row r="171" spans="1:17" ht="13.2" x14ac:dyDescent="0.25">
      <c r="A171" s="2" t="s">
        <v>816</v>
      </c>
      <c r="B171" s="2" t="s">
        <v>385</v>
      </c>
      <c r="C171" s="4" t="s">
        <v>646</v>
      </c>
      <c r="D171" s="4" t="s">
        <v>646</v>
      </c>
      <c r="E171" s="4" t="s">
        <v>646</v>
      </c>
      <c r="F171" s="4" t="s">
        <v>646</v>
      </c>
      <c r="G171" s="4" t="s">
        <v>646</v>
      </c>
      <c r="H171" s="4" t="s">
        <v>646</v>
      </c>
      <c r="I171" s="4" t="s">
        <v>646</v>
      </c>
      <c r="J171" s="4" t="s">
        <v>646</v>
      </c>
      <c r="K171" s="4" t="s">
        <v>646</v>
      </c>
      <c r="L171" s="4" t="s">
        <v>646</v>
      </c>
      <c r="M171" s="4" t="s">
        <v>646</v>
      </c>
      <c r="N171" s="4" t="s">
        <v>646</v>
      </c>
      <c r="O171">
        <f t="shared" si="6"/>
        <v>12</v>
      </c>
      <c r="P171">
        <f t="shared" si="7"/>
        <v>0</v>
      </c>
      <c r="Q171" t="str">
        <f t="shared" si="8"/>
        <v>Normal</v>
      </c>
    </row>
    <row r="172" spans="1:17" ht="13.2" x14ac:dyDescent="0.25">
      <c r="A172" s="2" t="s">
        <v>817</v>
      </c>
      <c r="B172" s="2" t="s">
        <v>184</v>
      </c>
      <c r="C172" s="4" t="s">
        <v>646</v>
      </c>
      <c r="D172" s="4" t="s">
        <v>646</v>
      </c>
      <c r="E172" s="4" t="s">
        <v>646</v>
      </c>
      <c r="F172" s="4" t="s">
        <v>646</v>
      </c>
      <c r="G172" s="4" t="s">
        <v>646</v>
      </c>
      <c r="H172" s="4" t="s">
        <v>646</v>
      </c>
      <c r="I172" s="4" t="s">
        <v>646</v>
      </c>
      <c r="J172" s="4" t="s">
        <v>646</v>
      </c>
      <c r="K172" s="4" t="s">
        <v>646</v>
      </c>
      <c r="L172" s="4" t="s">
        <v>646</v>
      </c>
      <c r="M172" s="4" t="s">
        <v>646</v>
      </c>
      <c r="N172" s="4" t="s">
        <v>646</v>
      </c>
      <c r="O172">
        <f t="shared" si="6"/>
        <v>12</v>
      </c>
      <c r="P172">
        <f t="shared" si="7"/>
        <v>0</v>
      </c>
      <c r="Q172" t="str">
        <f t="shared" si="8"/>
        <v>Normal</v>
      </c>
    </row>
    <row r="173" spans="1:17" ht="13.2" x14ac:dyDescent="0.25">
      <c r="A173" s="2" t="s">
        <v>818</v>
      </c>
      <c r="B173" s="2" t="s">
        <v>453</v>
      </c>
      <c r="C173" s="4" t="s">
        <v>646</v>
      </c>
      <c r="D173" s="4" t="s">
        <v>646</v>
      </c>
      <c r="E173" s="4" t="s">
        <v>646</v>
      </c>
      <c r="F173" s="4" t="s">
        <v>646</v>
      </c>
      <c r="G173" s="4" t="s">
        <v>646</v>
      </c>
      <c r="H173" s="4" t="s">
        <v>646</v>
      </c>
      <c r="I173" s="4" t="s">
        <v>646</v>
      </c>
      <c r="J173" s="4" t="s">
        <v>646</v>
      </c>
      <c r="K173" s="4" t="s">
        <v>646</v>
      </c>
      <c r="L173" s="4" t="s">
        <v>646</v>
      </c>
      <c r="M173" s="4" t="s">
        <v>646</v>
      </c>
      <c r="N173" s="4" t="s">
        <v>646</v>
      </c>
      <c r="O173">
        <f t="shared" si="6"/>
        <v>12</v>
      </c>
      <c r="P173">
        <f t="shared" si="7"/>
        <v>0</v>
      </c>
      <c r="Q173" t="str">
        <f t="shared" si="8"/>
        <v>Normal</v>
      </c>
    </row>
    <row r="174" spans="1:17" ht="13.2" x14ac:dyDescent="0.25">
      <c r="A174" s="2" t="s">
        <v>819</v>
      </c>
      <c r="B174" s="2" t="s">
        <v>173</v>
      </c>
      <c r="C174" s="4" t="s">
        <v>646</v>
      </c>
      <c r="D174" s="4" t="s">
        <v>646</v>
      </c>
      <c r="E174" s="4" t="s">
        <v>646</v>
      </c>
      <c r="F174" s="4" t="s">
        <v>646</v>
      </c>
      <c r="G174" s="4" t="s">
        <v>646</v>
      </c>
      <c r="H174" s="4" t="s">
        <v>646</v>
      </c>
      <c r="I174" s="4" t="s">
        <v>646</v>
      </c>
      <c r="J174" s="4" t="s">
        <v>646</v>
      </c>
      <c r="K174" s="4" t="s">
        <v>646</v>
      </c>
      <c r="L174" s="4" t="s">
        <v>646</v>
      </c>
      <c r="M174" s="4" t="s">
        <v>646</v>
      </c>
      <c r="N174" s="4" t="s">
        <v>646</v>
      </c>
      <c r="O174">
        <f t="shared" si="6"/>
        <v>12</v>
      </c>
      <c r="P174">
        <f t="shared" si="7"/>
        <v>0</v>
      </c>
      <c r="Q174" t="str">
        <f t="shared" si="8"/>
        <v>Normal</v>
      </c>
    </row>
    <row r="175" spans="1:17" ht="13.2" x14ac:dyDescent="0.25">
      <c r="A175" s="2" t="s">
        <v>820</v>
      </c>
      <c r="B175" s="2" t="s">
        <v>603</v>
      </c>
      <c r="C175" s="4" t="s">
        <v>646</v>
      </c>
      <c r="D175" s="4" t="s">
        <v>646</v>
      </c>
      <c r="E175" s="4" t="s">
        <v>646</v>
      </c>
      <c r="F175" s="4" t="s">
        <v>646</v>
      </c>
      <c r="G175" s="4" t="s">
        <v>646</v>
      </c>
      <c r="H175" s="4" t="s">
        <v>646</v>
      </c>
      <c r="I175" s="4" t="s">
        <v>646</v>
      </c>
      <c r="J175" s="4" t="s">
        <v>646</v>
      </c>
      <c r="K175" s="4" t="s">
        <v>646</v>
      </c>
      <c r="L175" s="4" t="s">
        <v>646</v>
      </c>
      <c r="M175" s="4" t="s">
        <v>646</v>
      </c>
      <c r="N175" s="4" t="s">
        <v>646</v>
      </c>
      <c r="O175">
        <f t="shared" si="6"/>
        <v>12</v>
      </c>
      <c r="P175">
        <f t="shared" si="7"/>
        <v>0</v>
      </c>
      <c r="Q175" t="str">
        <f t="shared" si="8"/>
        <v>Normal</v>
      </c>
    </row>
    <row r="176" spans="1:17" ht="13.2" x14ac:dyDescent="0.25">
      <c r="A176" s="2" t="s">
        <v>821</v>
      </c>
      <c r="B176" s="2" t="s">
        <v>146</v>
      </c>
      <c r="C176" s="4" t="s">
        <v>646</v>
      </c>
      <c r="D176" s="4" t="s">
        <v>646</v>
      </c>
      <c r="E176" s="4" t="s">
        <v>646</v>
      </c>
      <c r="F176" s="4" t="s">
        <v>646</v>
      </c>
      <c r="G176" s="4" t="s">
        <v>646</v>
      </c>
      <c r="H176" s="4" t="s">
        <v>646</v>
      </c>
      <c r="I176" s="4" t="s">
        <v>646</v>
      </c>
      <c r="J176" s="4" t="s">
        <v>646</v>
      </c>
      <c r="K176" s="4" t="s">
        <v>646</v>
      </c>
      <c r="L176" s="4" t="s">
        <v>646</v>
      </c>
      <c r="M176" s="4" t="s">
        <v>646</v>
      </c>
      <c r="N176" s="4" t="s">
        <v>646</v>
      </c>
      <c r="O176">
        <f t="shared" si="6"/>
        <v>12</v>
      </c>
      <c r="P176">
        <f t="shared" si="7"/>
        <v>0</v>
      </c>
      <c r="Q176" t="str">
        <f t="shared" si="8"/>
        <v>Normal</v>
      </c>
    </row>
    <row r="177" spans="1:17" ht="13.2" x14ac:dyDescent="0.25">
      <c r="A177" s="2" t="s">
        <v>822</v>
      </c>
      <c r="B177" s="2" t="s">
        <v>130</v>
      </c>
      <c r="C177" s="4" t="s">
        <v>646</v>
      </c>
      <c r="D177" s="4" t="s">
        <v>646</v>
      </c>
      <c r="E177" s="4" t="s">
        <v>646</v>
      </c>
      <c r="F177" s="4" t="s">
        <v>646</v>
      </c>
      <c r="G177" s="4" t="s">
        <v>646</v>
      </c>
      <c r="H177" s="4" t="s">
        <v>646</v>
      </c>
      <c r="I177" s="4" t="s">
        <v>646</v>
      </c>
      <c r="J177" s="4" t="s">
        <v>646</v>
      </c>
      <c r="K177" s="4" t="s">
        <v>646</v>
      </c>
      <c r="L177" s="4" t="s">
        <v>646</v>
      </c>
      <c r="M177" s="4" t="s">
        <v>646</v>
      </c>
      <c r="N177" s="4" t="s">
        <v>646</v>
      </c>
      <c r="O177">
        <f t="shared" si="6"/>
        <v>12</v>
      </c>
      <c r="P177">
        <f t="shared" si="7"/>
        <v>0</v>
      </c>
      <c r="Q177" t="str">
        <f t="shared" si="8"/>
        <v>Normal</v>
      </c>
    </row>
    <row r="178" spans="1:17" ht="13.2" x14ac:dyDescent="0.25">
      <c r="A178" s="2" t="s">
        <v>823</v>
      </c>
      <c r="B178" s="2" t="s">
        <v>132</v>
      </c>
      <c r="C178" s="4" t="s">
        <v>646</v>
      </c>
      <c r="D178" s="4" t="s">
        <v>646</v>
      </c>
      <c r="E178" s="4" t="s">
        <v>646</v>
      </c>
      <c r="F178" s="4" t="s">
        <v>646</v>
      </c>
      <c r="G178" s="4" t="s">
        <v>646</v>
      </c>
      <c r="H178" s="4" t="s">
        <v>646</v>
      </c>
      <c r="I178" s="4" t="s">
        <v>646</v>
      </c>
      <c r="J178" s="4" t="s">
        <v>646</v>
      </c>
      <c r="K178" s="4" t="s">
        <v>646</v>
      </c>
      <c r="L178" s="4" t="s">
        <v>646</v>
      </c>
      <c r="M178" s="4" t="s">
        <v>646</v>
      </c>
      <c r="N178" s="4" t="s">
        <v>646</v>
      </c>
      <c r="O178">
        <f t="shared" si="6"/>
        <v>12</v>
      </c>
      <c r="P178">
        <f t="shared" si="7"/>
        <v>0</v>
      </c>
      <c r="Q178" t="str">
        <f t="shared" si="8"/>
        <v>Normal</v>
      </c>
    </row>
    <row r="179" spans="1:17" ht="13.2" x14ac:dyDescent="0.25">
      <c r="A179" s="2" t="s">
        <v>824</v>
      </c>
      <c r="B179" s="2" t="s">
        <v>152</v>
      </c>
      <c r="C179" s="4" t="s">
        <v>646</v>
      </c>
      <c r="D179" s="4" t="s">
        <v>646</v>
      </c>
      <c r="E179" s="4" t="s">
        <v>646</v>
      </c>
      <c r="F179" s="4" t="s">
        <v>646</v>
      </c>
      <c r="G179" s="4" t="s">
        <v>646</v>
      </c>
      <c r="H179" s="4" t="s">
        <v>646</v>
      </c>
      <c r="I179" s="4" t="s">
        <v>646</v>
      </c>
      <c r="J179" s="4" t="s">
        <v>646</v>
      </c>
      <c r="K179" s="4" t="s">
        <v>646</v>
      </c>
      <c r="L179" s="4" t="s">
        <v>646</v>
      </c>
      <c r="M179" s="4" t="s">
        <v>646</v>
      </c>
      <c r="N179" s="4" t="s">
        <v>646</v>
      </c>
      <c r="O179">
        <f t="shared" si="6"/>
        <v>12</v>
      </c>
      <c r="P179">
        <f t="shared" si="7"/>
        <v>0</v>
      </c>
      <c r="Q179" t="str">
        <f t="shared" si="8"/>
        <v>Normal</v>
      </c>
    </row>
    <row r="180" spans="1:17" ht="13.2" x14ac:dyDescent="0.25">
      <c r="A180" s="2" t="s">
        <v>825</v>
      </c>
      <c r="B180" s="2" t="s">
        <v>149</v>
      </c>
      <c r="C180" s="4" t="s">
        <v>646</v>
      </c>
      <c r="D180" s="4" t="s">
        <v>646</v>
      </c>
      <c r="E180" s="4" t="s">
        <v>646</v>
      </c>
      <c r="F180" s="4" t="s">
        <v>646</v>
      </c>
      <c r="G180" s="4" t="s">
        <v>646</v>
      </c>
      <c r="H180" s="4" t="s">
        <v>646</v>
      </c>
      <c r="I180" s="4" t="s">
        <v>646</v>
      </c>
      <c r="J180" s="4" t="s">
        <v>646</v>
      </c>
      <c r="K180" s="4" t="s">
        <v>646</v>
      </c>
      <c r="L180" s="4" t="s">
        <v>646</v>
      </c>
      <c r="M180" s="4" t="s">
        <v>646</v>
      </c>
      <c r="N180" s="4" t="s">
        <v>646</v>
      </c>
      <c r="O180">
        <f t="shared" si="6"/>
        <v>12</v>
      </c>
      <c r="P180">
        <f t="shared" si="7"/>
        <v>0</v>
      </c>
      <c r="Q180" t="str">
        <f t="shared" si="8"/>
        <v>Normal</v>
      </c>
    </row>
    <row r="181" spans="1:17" ht="13.2" x14ac:dyDescent="0.25">
      <c r="A181" s="2" t="s">
        <v>826</v>
      </c>
      <c r="B181" s="2" t="s">
        <v>282</v>
      </c>
      <c r="C181" s="4" t="s">
        <v>646</v>
      </c>
      <c r="D181" s="4" t="s">
        <v>646</v>
      </c>
      <c r="E181" s="4" t="s">
        <v>646</v>
      </c>
      <c r="F181" s="4" t="s">
        <v>646</v>
      </c>
      <c r="G181" s="4" t="s">
        <v>646</v>
      </c>
      <c r="H181" s="4" t="s">
        <v>646</v>
      </c>
      <c r="I181" s="4" t="s">
        <v>646</v>
      </c>
      <c r="J181" s="4" t="s">
        <v>646</v>
      </c>
      <c r="K181" s="4" t="s">
        <v>646</v>
      </c>
      <c r="L181" s="4" t="s">
        <v>646</v>
      </c>
      <c r="M181" s="4" t="s">
        <v>646</v>
      </c>
      <c r="N181" s="4" t="s">
        <v>646</v>
      </c>
      <c r="O181">
        <f t="shared" si="6"/>
        <v>12</v>
      </c>
      <c r="P181">
        <f t="shared" si="7"/>
        <v>0</v>
      </c>
      <c r="Q181" t="str">
        <f t="shared" si="8"/>
        <v>Normal</v>
      </c>
    </row>
    <row r="182" spans="1:17" ht="13.2" x14ac:dyDescent="0.25">
      <c r="A182" s="2" t="s">
        <v>827</v>
      </c>
      <c r="B182" s="2" t="s">
        <v>143</v>
      </c>
      <c r="C182" s="4" t="s">
        <v>646</v>
      </c>
      <c r="D182" s="4" t="s">
        <v>646</v>
      </c>
      <c r="E182" s="4" t="s">
        <v>646</v>
      </c>
      <c r="F182" s="4" t="s">
        <v>646</v>
      </c>
      <c r="G182" s="4" t="s">
        <v>646</v>
      </c>
      <c r="H182" s="4" t="s">
        <v>646</v>
      </c>
      <c r="I182" s="4" t="s">
        <v>646</v>
      </c>
      <c r="J182" s="4" t="s">
        <v>646</v>
      </c>
      <c r="K182" s="4" t="s">
        <v>646</v>
      </c>
      <c r="L182" s="4" t="s">
        <v>646</v>
      </c>
      <c r="M182" s="4" t="s">
        <v>646</v>
      </c>
      <c r="N182" s="4" t="s">
        <v>646</v>
      </c>
      <c r="O182">
        <f t="shared" si="6"/>
        <v>12</v>
      </c>
      <c r="P182">
        <f t="shared" si="7"/>
        <v>0</v>
      </c>
      <c r="Q182" t="str">
        <f t="shared" si="8"/>
        <v>Normal</v>
      </c>
    </row>
    <row r="183" spans="1:17" ht="13.2" x14ac:dyDescent="0.25">
      <c r="A183" s="2" t="s">
        <v>828</v>
      </c>
      <c r="B183" s="2" t="s">
        <v>170</v>
      </c>
      <c r="C183" s="4" t="s">
        <v>646</v>
      </c>
      <c r="D183" s="4" t="s">
        <v>646</v>
      </c>
      <c r="E183" s="4" t="s">
        <v>646</v>
      </c>
      <c r="F183" s="4" t="s">
        <v>646</v>
      </c>
      <c r="G183" s="4" t="s">
        <v>646</v>
      </c>
      <c r="H183" s="4" t="s">
        <v>646</v>
      </c>
      <c r="I183" s="4" t="s">
        <v>646</v>
      </c>
      <c r="J183" s="4" t="s">
        <v>646</v>
      </c>
      <c r="K183" s="4" t="s">
        <v>646</v>
      </c>
      <c r="L183" s="4" t="s">
        <v>646</v>
      </c>
      <c r="M183" s="4" t="s">
        <v>646</v>
      </c>
      <c r="N183" s="4" t="s">
        <v>646</v>
      </c>
      <c r="O183">
        <f t="shared" si="6"/>
        <v>12</v>
      </c>
      <c r="P183">
        <f t="shared" si="7"/>
        <v>0</v>
      </c>
      <c r="Q183" t="str">
        <f t="shared" si="8"/>
        <v>Normal</v>
      </c>
    </row>
    <row r="184" spans="1:17" ht="13.2" x14ac:dyDescent="0.25">
      <c r="A184" s="2" t="s">
        <v>829</v>
      </c>
      <c r="B184" s="2" t="s">
        <v>164</v>
      </c>
      <c r="C184" s="4" t="s">
        <v>646</v>
      </c>
      <c r="D184" s="4" t="s">
        <v>646</v>
      </c>
      <c r="E184" s="4" t="s">
        <v>646</v>
      </c>
      <c r="F184" s="4" t="s">
        <v>646</v>
      </c>
      <c r="G184" s="4" t="s">
        <v>646</v>
      </c>
      <c r="H184" s="4" t="s">
        <v>646</v>
      </c>
      <c r="I184" s="4" t="s">
        <v>646</v>
      </c>
      <c r="J184" s="4" t="s">
        <v>646</v>
      </c>
      <c r="K184" s="4" t="s">
        <v>646</v>
      </c>
      <c r="L184" s="4" t="s">
        <v>646</v>
      </c>
      <c r="M184" s="4" t="s">
        <v>646</v>
      </c>
      <c r="N184" s="4" t="s">
        <v>646</v>
      </c>
      <c r="O184">
        <f t="shared" si="6"/>
        <v>12</v>
      </c>
      <c r="P184">
        <f t="shared" si="7"/>
        <v>0</v>
      </c>
      <c r="Q184" t="str">
        <f t="shared" si="8"/>
        <v>Normal</v>
      </c>
    </row>
    <row r="185" spans="1:17" ht="13.2" x14ac:dyDescent="0.25">
      <c r="A185" s="2" t="s">
        <v>830</v>
      </c>
      <c r="B185" s="2" t="s">
        <v>158</v>
      </c>
      <c r="C185" s="4" t="s">
        <v>646</v>
      </c>
      <c r="D185" s="4" t="s">
        <v>646</v>
      </c>
      <c r="E185" s="4" t="s">
        <v>646</v>
      </c>
      <c r="F185" s="4" t="s">
        <v>646</v>
      </c>
      <c r="G185" s="4" t="s">
        <v>646</v>
      </c>
      <c r="H185" s="4" t="s">
        <v>646</v>
      </c>
      <c r="I185" s="4" t="s">
        <v>646</v>
      </c>
      <c r="J185" s="4" t="s">
        <v>646</v>
      </c>
      <c r="K185" s="4" t="s">
        <v>646</v>
      </c>
      <c r="L185" s="4" t="s">
        <v>646</v>
      </c>
      <c r="M185" s="4" t="s">
        <v>646</v>
      </c>
      <c r="N185" s="4" t="s">
        <v>646</v>
      </c>
      <c r="O185">
        <f t="shared" si="6"/>
        <v>12</v>
      </c>
      <c r="P185">
        <f t="shared" si="7"/>
        <v>0</v>
      </c>
      <c r="Q185" t="str">
        <f t="shared" si="8"/>
        <v>Normal</v>
      </c>
    </row>
    <row r="186" spans="1:17" ht="13.2" x14ac:dyDescent="0.25">
      <c r="A186" s="2" t="s">
        <v>831</v>
      </c>
      <c r="B186" s="2" t="s">
        <v>167</v>
      </c>
      <c r="C186" s="4" t="s">
        <v>646</v>
      </c>
      <c r="D186" s="4" t="s">
        <v>646</v>
      </c>
      <c r="E186" s="4" t="s">
        <v>646</v>
      </c>
      <c r="F186" s="4" t="s">
        <v>646</v>
      </c>
      <c r="G186" s="4" t="s">
        <v>646</v>
      </c>
      <c r="H186" s="4" t="s">
        <v>646</v>
      </c>
      <c r="I186" s="4" t="s">
        <v>646</v>
      </c>
      <c r="J186" s="4" t="s">
        <v>646</v>
      </c>
      <c r="K186" s="4" t="s">
        <v>646</v>
      </c>
      <c r="L186" s="4" t="s">
        <v>646</v>
      </c>
      <c r="M186" s="4" t="s">
        <v>646</v>
      </c>
      <c r="N186" s="4" t="s">
        <v>646</v>
      </c>
      <c r="O186">
        <f t="shared" si="6"/>
        <v>12</v>
      </c>
      <c r="P186">
        <f t="shared" si="7"/>
        <v>0</v>
      </c>
      <c r="Q186" t="str">
        <f t="shared" si="8"/>
        <v>Normal</v>
      </c>
    </row>
    <row r="187" spans="1:17" ht="13.2" x14ac:dyDescent="0.25">
      <c r="A187" s="2" t="s">
        <v>832</v>
      </c>
      <c r="B187" s="2" t="s">
        <v>140</v>
      </c>
      <c r="C187" s="4" t="s">
        <v>646</v>
      </c>
      <c r="D187" s="4" t="s">
        <v>646</v>
      </c>
      <c r="E187" s="4" t="s">
        <v>646</v>
      </c>
      <c r="F187" s="4" t="s">
        <v>646</v>
      </c>
      <c r="G187" s="4" t="s">
        <v>646</v>
      </c>
      <c r="H187" s="4" t="s">
        <v>646</v>
      </c>
      <c r="I187" s="4" t="s">
        <v>646</v>
      </c>
      <c r="J187" s="4" t="s">
        <v>646</v>
      </c>
      <c r="K187" s="4" t="s">
        <v>646</v>
      </c>
      <c r="L187" s="4" t="s">
        <v>646</v>
      </c>
      <c r="M187" s="4" t="s">
        <v>646</v>
      </c>
      <c r="N187" s="4" t="s">
        <v>646</v>
      </c>
      <c r="O187">
        <f t="shared" si="6"/>
        <v>12</v>
      </c>
      <c r="P187">
        <f t="shared" si="7"/>
        <v>0</v>
      </c>
      <c r="Q187" t="str">
        <f t="shared" si="8"/>
        <v>Normal</v>
      </c>
    </row>
    <row r="188" spans="1:17" ht="13.2" x14ac:dyDescent="0.25">
      <c r="A188" s="2" t="s">
        <v>833</v>
      </c>
      <c r="B188" s="2" t="s">
        <v>84</v>
      </c>
      <c r="C188" s="4" t="s">
        <v>646</v>
      </c>
      <c r="D188" s="4" t="s">
        <v>646</v>
      </c>
      <c r="E188" s="4" t="s">
        <v>646</v>
      </c>
      <c r="F188" s="4" t="s">
        <v>646</v>
      </c>
      <c r="G188" s="4" t="s">
        <v>646</v>
      </c>
      <c r="H188" s="4" t="s">
        <v>646</v>
      </c>
      <c r="I188" s="4" t="s">
        <v>646</v>
      </c>
      <c r="J188" s="4" t="s">
        <v>646</v>
      </c>
      <c r="K188" s="4" t="s">
        <v>646</v>
      </c>
      <c r="L188" s="4" t="s">
        <v>646</v>
      </c>
      <c r="M188" s="4" t="s">
        <v>646</v>
      </c>
      <c r="N188" s="4" t="s">
        <v>646</v>
      </c>
      <c r="O188">
        <f t="shared" si="6"/>
        <v>12</v>
      </c>
      <c r="P188">
        <f t="shared" si="7"/>
        <v>0</v>
      </c>
      <c r="Q188" t="str">
        <f t="shared" si="8"/>
        <v>Normal</v>
      </c>
    </row>
    <row r="189" spans="1:17" ht="13.2" x14ac:dyDescent="0.25">
      <c r="A189" s="2" t="s">
        <v>834</v>
      </c>
      <c r="B189" s="2" t="s">
        <v>127</v>
      </c>
      <c r="C189" s="4" t="s">
        <v>646</v>
      </c>
      <c r="D189" s="4" t="s">
        <v>646</v>
      </c>
      <c r="E189" s="4" t="s">
        <v>646</v>
      </c>
      <c r="F189" s="4" t="s">
        <v>646</v>
      </c>
      <c r="G189" s="4" t="s">
        <v>646</v>
      </c>
      <c r="H189" s="4" t="s">
        <v>646</v>
      </c>
      <c r="I189" s="4" t="s">
        <v>646</v>
      </c>
      <c r="J189" s="4" t="s">
        <v>646</v>
      </c>
      <c r="K189" s="4" t="s">
        <v>646</v>
      </c>
      <c r="L189" s="4" t="s">
        <v>646</v>
      </c>
      <c r="M189" s="4" t="s">
        <v>646</v>
      </c>
      <c r="N189" s="4" t="s">
        <v>646</v>
      </c>
      <c r="O189">
        <f t="shared" si="6"/>
        <v>12</v>
      </c>
      <c r="P189">
        <f t="shared" si="7"/>
        <v>0</v>
      </c>
      <c r="Q189" t="str">
        <f t="shared" si="8"/>
        <v>Normal</v>
      </c>
    </row>
    <row r="190" spans="1:17" ht="13.2" x14ac:dyDescent="0.25">
      <c r="A190" s="2" t="s">
        <v>835</v>
      </c>
      <c r="B190" s="2" t="s">
        <v>42</v>
      </c>
      <c r="C190" s="4" t="s">
        <v>646</v>
      </c>
      <c r="D190" s="4" t="s">
        <v>646</v>
      </c>
      <c r="E190" s="4" t="s">
        <v>646</v>
      </c>
      <c r="F190" s="4" t="s">
        <v>646</v>
      </c>
      <c r="G190" s="4" t="s">
        <v>646</v>
      </c>
      <c r="H190" s="4" t="s">
        <v>646</v>
      </c>
      <c r="I190" s="4" t="s">
        <v>646</v>
      </c>
      <c r="J190" s="4" t="s">
        <v>646</v>
      </c>
      <c r="K190" s="4" t="s">
        <v>646</v>
      </c>
      <c r="L190" s="4" t="s">
        <v>646</v>
      </c>
      <c r="M190" s="4" t="s">
        <v>646</v>
      </c>
      <c r="N190" s="4" t="s">
        <v>646</v>
      </c>
      <c r="O190">
        <f t="shared" si="6"/>
        <v>12</v>
      </c>
      <c r="P190">
        <f t="shared" si="7"/>
        <v>0</v>
      </c>
      <c r="Q190" t="str">
        <f t="shared" si="8"/>
        <v>Normal</v>
      </c>
    </row>
    <row r="191" spans="1:17" ht="13.2" x14ac:dyDescent="0.25">
      <c r="A191" s="2" t="s">
        <v>836</v>
      </c>
      <c r="B191" s="2" t="s">
        <v>124</v>
      </c>
      <c r="C191" s="4" t="s">
        <v>646</v>
      </c>
      <c r="D191" s="4" t="s">
        <v>646</v>
      </c>
      <c r="E191" s="4" t="s">
        <v>646</v>
      </c>
      <c r="F191" s="4" t="s">
        <v>646</v>
      </c>
      <c r="G191" s="4" t="s">
        <v>646</v>
      </c>
      <c r="H191" s="4" t="s">
        <v>646</v>
      </c>
      <c r="I191" s="4" t="s">
        <v>646</v>
      </c>
      <c r="J191" s="4" t="s">
        <v>646</v>
      </c>
      <c r="K191" s="4" t="s">
        <v>646</v>
      </c>
      <c r="L191" s="4" t="s">
        <v>646</v>
      </c>
      <c r="M191" s="4" t="s">
        <v>646</v>
      </c>
      <c r="N191" s="4" t="s">
        <v>646</v>
      </c>
      <c r="O191">
        <f t="shared" si="6"/>
        <v>12</v>
      </c>
      <c r="P191">
        <f t="shared" si="7"/>
        <v>0</v>
      </c>
      <c r="Q191" t="str">
        <f t="shared" si="8"/>
        <v>Normal</v>
      </c>
    </row>
    <row r="192" spans="1:17" ht="13.2" x14ac:dyDescent="0.25">
      <c r="A192" s="2" t="s">
        <v>837</v>
      </c>
      <c r="B192" s="2" t="s">
        <v>111</v>
      </c>
      <c r="C192" s="4" t="s">
        <v>646</v>
      </c>
      <c r="D192" s="4" t="s">
        <v>646</v>
      </c>
      <c r="E192" s="4" t="s">
        <v>646</v>
      </c>
      <c r="F192" s="4" t="s">
        <v>646</v>
      </c>
      <c r="G192" s="4" t="s">
        <v>646</v>
      </c>
      <c r="H192" s="4" t="s">
        <v>646</v>
      </c>
      <c r="I192" s="4" t="s">
        <v>646</v>
      </c>
      <c r="J192" s="4" t="s">
        <v>646</v>
      </c>
      <c r="K192" s="4" t="s">
        <v>646</v>
      </c>
      <c r="L192" s="4" t="s">
        <v>646</v>
      </c>
      <c r="M192" s="4" t="s">
        <v>646</v>
      </c>
      <c r="N192" s="4" t="s">
        <v>646</v>
      </c>
      <c r="O192">
        <f t="shared" si="6"/>
        <v>12</v>
      </c>
      <c r="P192">
        <f t="shared" si="7"/>
        <v>0</v>
      </c>
      <c r="Q192" t="str">
        <f t="shared" si="8"/>
        <v>Normal</v>
      </c>
    </row>
    <row r="193" spans="1:17" ht="13.2" x14ac:dyDescent="0.25">
      <c r="A193" s="2" t="s">
        <v>838</v>
      </c>
      <c r="B193" s="2" t="s">
        <v>588</v>
      </c>
      <c r="C193" s="4" t="s">
        <v>646</v>
      </c>
      <c r="D193" s="4" t="s">
        <v>646</v>
      </c>
      <c r="E193" s="4" t="s">
        <v>646</v>
      </c>
      <c r="F193" s="4" t="s">
        <v>646</v>
      </c>
      <c r="G193" s="4" t="s">
        <v>646</v>
      </c>
      <c r="H193" s="4" t="s">
        <v>646</v>
      </c>
      <c r="I193" s="4" t="s">
        <v>646</v>
      </c>
      <c r="J193" s="4" t="s">
        <v>646</v>
      </c>
      <c r="K193" s="4" t="s">
        <v>646</v>
      </c>
      <c r="L193" s="4" t="s">
        <v>646</v>
      </c>
      <c r="M193" s="4" t="s">
        <v>646</v>
      </c>
      <c r="N193" s="4" t="s">
        <v>646</v>
      </c>
      <c r="O193">
        <f t="shared" si="6"/>
        <v>12</v>
      </c>
      <c r="P193">
        <f t="shared" si="7"/>
        <v>0</v>
      </c>
      <c r="Q193" t="str">
        <f t="shared" si="8"/>
        <v>Normal</v>
      </c>
    </row>
    <row r="194" spans="1:17" ht="13.2" x14ac:dyDescent="0.25">
      <c r="A194" s="2" t="s">
        <v>839</v>
      </c>
      <c r="B194" s="2" t="s">
        <v>477</v>
      </c>
      <c r="C194" s="4" t="s">
        <v>646</v>
      </c>
      <c r="D194" s="4" t="s">
        <v>646</v>
      </c>
      <c r="E194" s="4" t="s">
        <v>646</v>
      </c>
      <c r="F194" s="4" t="s">
        <v>646</v>
      </c>
      <c r="G194" s="4" t="s">
        <v>646</v>
      </c>
      <c r="H194" s="4" t="s">
        <v>646</v>
      </c>
      <c r="I194" s="4" t="s">
        <v>646</v>
      </c>
      <c r="J194" s="4" t="s">
        <v>646</v>
      </c>
      <c r="K194" s="4" t="s">
        <v>646</v>
      </c>
      <c r="L194" s="4" t="s">
        <v>646</v>
      </c>
      <c r="M194" s="4" t="s">
        <v>646</v>
      </c>
      <c r="N194" s="4" t="s">
        <v>646</v>
      </c>
      <c r="O194">
        <f t="shared" si="6"/>
        <v>12</v>
      </c>
      <c r="P194">
        <f t="shared" si="7"/>
        <v>0</v>
      </c>
      <c r="Q194" t="str">
        <f t="shared" si="8"/>
        <v>Normal</v>
      </c>
    </row>
    <row r="195" spans="1:17" ht="13.2" x14ac:dyDescent="0.25">
      <c r="A195" s="2" t="s">
        <v>840</v>
      </c>
      <c r="B195" s="2" t="s">
        <v>316</v>
      </c>
      <c r="C195" s="4" t="s">
        <v>646</v>
      </c>
      <c r="D195" s="4" t="s">
        <v>646</v>
      </c>
      <c r="E195" s="4" t="s">
        <v>646</v>
      </c>
      <c r="F195" s="4" t="s">
        <v>646</v>
      </c>
      <c r="G195" s="4" t="s">
        <v>646</v>
      </c>
      <c r="H195" s="4" t="s">
        <v>646</v>
      </c>
      <c r="I195" s="4" t="s">
        <v>646</v>
      </c>
      <c r="J195" s="4" t="s">
        <v>646</v>
      </c>
      <c r="K195" s="4" t="s">
        <v>646</v>
      </c>
      <c r="L195" s="4" t="s">
        <v>646</v>
      </c>
      <c r="M195" s="4" t="s">
        <v>646</v>
      </c>
      <c r="N195" s="4" t="s">
        <v>646</v>
      </c>
      <c r="O195">
        <f t="shared" ref="O195:O217" si="9">+COUNTIF(C195:N195,"Present")</f>
        <v>12</v>
      </c>
      <c r="P195">
        <f t="shared" ref="P195:P217" si="10">+COUNTIF(C195:O195,"Absent")</f>
        <v>0</v>
      </c>
      <c r="Q195" t="str">
        <f t="shared" ref="Q195:Q217" si="11">IF(P195&gt;3,"At Risk","Normal")</f>
        <v>Normal</v>
      </c>
    </row>
    <row r="196" spans="1:17" ht="13.2" x14ac:dyDescent="0.25">
      <c r="A196" s="2" t="s">
        <v>841</v>
      </c>
      <c r="B196" s="2" t="s">
        <v>181</v>
      </c>
      <c r="C196" s="4" t="s">
        <v>646</v>
      </c>
      <c r="D196" s="4" t="s">
        <v>646</v>
      </c>
      <c r="E196" s="4" t="s">
        <v>646</v>
      </c>
      <c r="F196" s="4" t="s">
        <v>646</v>
      </c>
      <c r="G196" s="4" t="s">
        <v>646</v>
      </c>
      <c r="H196" s="4" t="s">
        <v>646</v>
      </c>
      <c r="I196" s="4" t="s">
        <v>646</v>
      </c>
      <c r="J196" s="4" t="s">
        <v>646</v>
      </c>
      <c r="K196" s="4" t="s">
        <v>646</v>
      </c>
      <c r="L196" s="4" t="s">
        <v>646</v>
      </c>
      <c r="M196" s="4" t="s">
        <v>646</v>
      </c>
      <c r="N196" s="4" t="s">
        <v>646</v>
      </c>
      <c r="O196">
        <f t="shared" si="9"/>
        <v>12</v>
      </c>
      <c r="P196">
        <f t="shared" si="10"/>
        <v>0</v>
      </c>
      <c r="Q196" t="str">
        <f t="shared" si="11"/>
        <v>Normal</v>
      </c>
    </row>
    <row r="197" spans="1:17" ht="13.2" x14ac:dyDescent="0.25">
      <c r="A197" s="2" t="s">
        <v>842</v>
      </c>
      <c r="B197" s="2" t="s">
        <v>329</v>
      </c>
      <c r="C197" s="4" t="s">
        <v>646</v>
      </c>
      <c r="D197" s="4" t="s">
        <v>646</v>
      </c>
      <c r="E197" s="4" t="s">
        <v>646</v>
      </c>
      <c r="F197" s="4" t="s">
        <v>646</v>
      </c>
      <c r="G197" s="4" t="s">
        <v>646</v>
      </c>
      <c r="H197" s="4" t="s">
        <v>646</v>
      </c>
      <c r="I197" s="4" t="s">
        <v>646</v>
      </c>
      <c r="J197" s="4" t="s">
        <v>646</v>
      </c>
      <c r="K197" s="4" t="s">
        <v>646</v>
      </c>
      <c r="L197" s="4" t="s">
        <v>646</v>
      </c>
      <c r="M197" s="4" t="s">
        <v>646</v>
      </c>
      <c r="N197" s="4" t="s">
        <v>646</v>
      </c>
      <c r="O197">
        <f t="shared" si="9"/>
        <v>12</v>
      </c>
      <c r="P197">
        <f t="shared" si="10"/>
        <v>0</v>
      </c>
      <c r="Q197" t="str">
        <f t="shared" si="11"/>
        <v>Normal</v>
      </c>
    </row>
    <row r="198" spans="1:17" ht="13.2" x14ac:dyDescent="0.25">
      <c r="A198" s="2" t="s">
        <v>843</v>
      </c>
      <c r="B198" s="2" t="s">
        <v>108</v>
      </c>
      <c r="C198" s="4" t="s">
        <v>646</v>
      </c>
      <c r="D198" s="4" t="s">
        <v>646</v>
      </c>
      <c r="E198" s="4" t="s">
        <v>646</v>
      </c>
      <c r="F198" s="4" t="s">
        <v>646</v>
      </c>
      <c r="G198" s="4" t="s">
        <v>646</v>
      </c>
      <c r="H198" s="4" t="s">
        <v>646</v>
      </c>
      <c r="I198" s="4" t="s">
        <v>646</v>
      </c>
      <c r="J198" s="4" t="s">
        <v>646</v>
      </c>
      <c r="K198" s="4" t="s">
        <v>646</v>
      </c>
      <c r="L198" s="4" t="s">
        <v>646</v>
      </c>
      <c r="M198" s="4" t="s">
        <v>646</v>
      </c>
      <c r="N198" s="4" t="s">
        <v>646</v>
      </c>
      <c r="O198">
        <f t="shared" si="9"/>
        <v>12</v>
      </c>
      <c r="P198">
        <f t="shared" si="10"/>
        <v>0</v>
      </c>
      <c r="Q198" t="str">
        <f t="shared" si="11"/>
        <v>Normal</v>
      </c>
    </row>
    <row r="199" spans="1:17" ht="13.2" x14ac:dyDescent="0.25">
      <c r="A199" s="2" t="s">
        <v>844</v>
      </c>
      <c r="B199" s="2" t="s">
        <v>93</v>
      </c>
      <c r="C199" s="4" t="s">
        <v>646</v>
      </c>
      <c r="D199" s="4" t="s">
        <v>646</v>
      </c>
      <c r="E199" s="4" t="s">
        <v>646</v>
      </c>
      <c r="F199" s="4" t="s">
        <v>646</v>
      </c>
      <c r="G199" s="4" t="s">
        <v>646</v>
      </c>
      <c r="H199" s="4" t="s">
        <v>646</v>
      </c>
      <c r="I199" s="4" t="s">
        <v>646</v>
      </c>
      <c r="J199" s="4" t="s">
        <v>646</v>
      </c>
      <c r="K199" s="4" t="s">
        <v>646</v>
      </c>
      <c r="L199" s="4" t="s">
        <v>646</v>
      </c>
      <c r="M199" s="4" t="s">
        <v>646</v>
      </c>
      <c r="N199" s="4" t="s">
        <v>646</v>
      </c>
      <c r="O199">
        <f t="shared" si="9"/>
        <v>12</v>
      </c>
      <c r="P199">
        <f t="shared" si="10"/>
        <v>0</v>
      </c>
      <c r="Q199" t="str">
        <f t="shared" si="11"/>
        <v>Normal</v>
      </c>
    </row>
    <row r="200" spans="1:17" ht="13.2" x14ac:dyDescent="0.25">
      <c r="A200" s="2" t="s">
        <v>845</v>
      </c>
      <c r="B200" s="2" t="s">
        <v>102</v>
      </c>
      <c r="C200" s="4" t="s">
        <v>646</v>
      </c>
      <c r="D200" s="4" t="s">
        <v>646</v>
      </c>
      <c r="E200" s="4" t="s">
        <v>646</v>
      </c>
      <c r="F200" s="4" t="s">
        <v>646</v>
      </c>
      <c r="G200" s="4" t="s">
        <v>646</v>
      </c>
      <c r="H200" s="4" t="s">
        <v>646</v>
      </c>
      <c r="I200" s="4" t="s">
        <v>646</v>
      </c>
      <c r="J200" s="4" t="s">
        <v>646</v>
      </c>
      <c r="K200" s="4" t="s">
        <v>646</v>
      </c>
      <c r="L200" s="4" t="s">
        <v>646</v>
      </c>
      <c r="M200" s="4" t="s">
        <v>646</v>
      </c>
      <c r="N200" s="4" t="s">
        <v>646</v>
      </c>
      <c r="O200">
        <f t="shared" si="9"/>
        <v>12</v>
      </c>
      <c r="P200">
        <f t="shared" si="10"/>
        <v>0</v>
      </c>
      <c r="Q200" t="str">
        <f t="shared" si="11"/>
        <v>Normal</v>
      </c>
    </row>
    <row r="201" spans="1:17" ht="13.2" x14ac:dyDescent="0.25">
      <c r="A201" s="2" t="s">
        <v>846</v>
      </c>
      <c r="B201" s="2" t="s">
        <v>96</v>
      </c>
      <c r="C201" s="4" t="s">
        <v>646</v>
      </c>
      <c r="D201" s="4" t="s">
        <v>646</v>
      </c>
      <c r="E201" s="4" t="s">
        <v>646</v>
      </c>
      <c r="F201" s="4" t="s">
        <v>646</v>
      </c>
      <c r="G201" s="4" t="s">
        <v>646</v>
      </c>
      <c r="H201" s="4" t="s">
        <v>646</v>
      </c>
      <c r="I201" s="4" t="s">
        <v>646</v>
      </c>
      <c r="J201" s="4" t="s">
        <v>646</v>
      </c>
      <c r="K201" s="4" t="s">
        <v>646</v>
      </c>
      <c r="L201" s="4" t="s">
        <v>646</v>
      </c>
      <c r="M201" s="4" t="s">
        <v>646</v>
      </c>
      <c r="N201" s="4" t="s">
        <v>646</v>
      </c>
      <c r="O201">
        <f t="shared" si="9"/>
        <v>12</v>
      </c>
      <c r="P201">
        <f t="shared" si="10"/>
        <v>0</v>
      </c>
      <c r="Q201" t="str">
        <f t="shared" si="11"/>
        <v>Normal</v>
      </c>
    </row>
    <row r="202" spans="1:17" ht="13.2" x14ac:dyDescent="0.25">
      <c r="A202" s="2" t="s">
        <v>847</v>
      </c>
      <c r="B202" s="2" t="s">
        <v>279</v>
      </c>
      <c r="C202" s="4" t="s">
        <v>646</v>
      </c>
      <c r="D202" s="4" t="s">
        <v>646</v>
      </c>
      <c r="E202" s="4" t="s">
        <v>646</v>
      </c>
      <c r="F202" s="4" t="s">
        <v>646</v>
      </c>
      <c r="G202" s="4" t="s">
        <v>646</v>
      </c>
      <c r="H202" s="4" t="s">
        <v>646</v>
      </c>
      <c r="I202" s="4" t="s">
        <v>646</v>
      </c>
      <c r="J202" s="4" t="s">
        <v>646</v>
      </c>
      <c r="K202" s="4" t="s">
        <v>646</v>
      </c>
      <c r="L202" s="4" t="s">
        <v>646</v>
      </c>
      <c r="M202" s="4" t="s">
        <v>646</v>
      </c>
      <c r="N202" s="4" t="s">
        <v>646</v>
      </c>
      <c r="O202">
        <f t="shared" si="9"/>
        <v>12</v>
      </c>
      <c r="P202">
        <f t="shared" si="10"/>
        <v>0</v>
      </c>
      <c r="Q202" t="str">
        <f t="shared" si="11"/>
        <v>Normal</v>
      </c>
    </row>
    <row r="203" spans="1:17" ht="13.2" x14ac:dyDescent="0.25">
      <c r="A203" s="2" t="s">
        <v>848</v>
      </c>
      <c r="B203" s="2" t="s">
        <v>87</v>
      </c>
      <c r="C203" s="4" t="s">
        <v>646</v>
      </c>
      <c r="D203" s="4" t="s">
        <v>646</v>
      </c>
      <c r="E203" s="4" t="s">
        <v>646</v>
      </c>
      <c r="F203" s="4" t="s">
        <v>646</v>
      </c>
      <c r="G203" s="4" t="s">
        <v>646</v>
      </c>
      <c r="H203" s="4" t="s">
        <v>646</v>
      </c>
      <c r="I203" s="4" t="s">
        <v>646</v>
      </c>
      <c r="J203" s="4" t="s">
        <v>646</v>
      </c>
      <c r="K203" s="4" t="s">
        <v>646</v>
      </c>
      <c r="L203" s="4" t="s">
        <v>646</v>
      </c>
      <c r="M203" s="4" t="s">
        <v>646</v>
      </c>
      <c r="N203" s="4" t="s">
        <v>646</v>
      </c>
      <c r="O203">
        <f t="shared" si="9"/>
        <v>12</v>
      </c>
      <c r="P203">
        <f t="shared" si="10"/>
        <v>0</v>
      </c>
      <c r="Q203" t="str">
        <f t="shared" si="11"/>
        <v>Normal</v>
      </c>
    </row>
    <row r="204" spans="1:17" ht="13.2" x14ac:dyDescent="0.25">
      <c r="A204" s="2" t="s">
        <v>838</v>
      </c>
      <c r="B204" s="2" t="s">
        <v>587</v>
      </c>
      <c r="C204" s="4" t="s">
        <v>646</v>
      </c>
      <c r="D204" s="4" t="s">
        <v>646</v>
      </c>
      <c r="E204" s="4" t="s">
        <v>646</v>
      </c>
      <c r="F204" s="4" t="s">
        <v>646</v>
      </c>
      <c r="G204" s="4" t="s">
        <v>646</v>
      </c>
      <c r="H204" s="4" t="s">
        <v>646</v>
      </c>
      <c r="I204" s="4" t="s">
        <v>646</v>
      </c>
      <c r="J204" s="4" t="s">
        <v>646</v>
      </c>
      <c r="K204" s="4" t="s">
        <v>646</v>
      </c>
      <c r="L204" s="4" t="s">
        <v>646</v>
      </c>
      <c r="M204" s="4" t="s">
        <v>646</v>
      </c>
      <c r="N204" s="4" t="s">
        <v>646</v>
      </c>
      <c r="O204">
        <f t="shared" si="9"/>
        <v>12</v>
      </c>
      <c r="P204">
        <f t="shared" si="10"/>
        <v>0</v>
      </c>
      <c r="Q204" t="str">
        <f t="shared" si="11"/>
        <v>Normal</v>
      </c>
    </row>
    <row r="205" spans="1:17" ht="13.2" x14ac:dyDescent="0.25">
      <c r="A205" s="2" t="s">
        <v>849</v>
      </c>
      <c r="B205" s="2" t="s">
        <v>90</v>
      </c>
      <c r="C205" s="4" t="s">
        <v>646</v>
      </c>
      <c r="D205" s="4" t="s">
        <v>646</v>
      </c>
      <c r="E205" s="4" t="s">
        <v>646</v>
      </c>
      <c r="F205" s="4" t="s">
        <v>646</v>
      </c>
      <c r="G205" s="4" t="s">
        <v>646</v>
      </c>
      <c r="H205" s="4" t="s">
        <v>646</v>
      </c>
      <c r="I205" s="4" t="s">
        <v>646</v>
      </c>
      <c r="J205" s="4" t="s">
        <v>646</v>
      </c>
      <c r="K205" s="4" t="s">
        <v>646</v>
      </c>
      <c r="L205" s="4" t="s">
        <v>646</v>
      </c>
      <c r="M205" s="4" t="s">
        <v>646</v>
      </c>
      <c r="N205" s="4" t="s">
        <v>646</v>
      </c>
      <c r="O205">
        <f t="shared" si="9"/>
        <v>12</v>
      </c>
      <c r="P205">
        <f t="shared" si="10"/>
        <v>0</v>
      </c>
      <c r="Q205" t="str">
        <f t="shared" si="11"/>
        <v>Normal</v>
      </c>
    </row>
    <row r="206" spans="1:17" ht="13.2" x14ac:dyDescent="0.25">
      <c r="A206" s="2" t="s">
        <v>850</v>
      </c>
      <c r="B206" s="2" t="s">
        <v>81</v>
      </c>
      <c r="C206" s="4" t="s">
        <v>646</v>
      </c>
      <c r="D206" s="4" t="s">
        <v>646</v>
      </c>
      <c r="E206" s="4" t="s">
        <v>646</v>
      </c>
      <c r="F206" s="4" t="s">
        <v>646</v>
      </c>
      <c r="G206" s="4" t="s">
        <v>646</v>
      </c>
      <c r="H206" s="4" t="s">
        <v>646</v>
      </c>
      <c r="I206" s="4" t="s">
        <v>646</v>
      </c>
      <c r="J206" s="4" t="s">
        <v>646</v>
      </c>
      <c r="K206" s="4" t="s">
        <v>646</v>
      </c>
      <c r="L206" s="4" t="s">
        <v>646</v>
      </c>
      <c r="M206" s="4" t="s">
        <v>646</v>
      </c>
      <c r="N206" s="4" t="s">
        <v>646</v>
      </c>
      <c r="O206">
        <f t="shared" si="9"/>
        <v>12</v>
      </c>
      <c r="P206">
        <f t="shared" si="10"/>
        <v>0</v>
      </c>
      <c r="Q206" t="str">
        <f t="shared" si="11"/>
        <v>Normal</v>
      </c>
    </row>
    <row r="207" spans="1:17" ht="13.2" x14ac:dyDescent="0.25">
      <c r="A207" s="2" t="s">
        <v>851</v>
      </c>
      <c r="B207" s="2" t="s">
        <v>74</v>
      </c>
      <c r="C207" s="4" t="s">
        <v>646</v>
      </c>
      <c r="D207" s="4" t="s">
        <v>646</v>
      </c>
      <c r="E207" s="4" t="s">
        <v>646</v>
      </c>
      <c r="F207" s="4" t="s">
        <v>646</v>
      </c>
      <c r="G207" s="4" t="s">
        <v>646</v>
      </c>
      <c r="H207" s="4" t="s">
        <v>646</v>
      </c>
      <c r="I207" s="4" t="s">
        <v>646</v>
      </c>
      <c r="J207" s="4" t="s">
        <v>646</v>
      </c>
      <c r="K207" s="4" t="s">
        <v>646</v>
      </c>
      <c r="L207" s="4" t="s">
        <v>646</v>
      </c>
      <c r="M207" s="4" t="s">
        <v>646</v>
      </c>
      <c r="N207" s="4" t="s">
        <v>646</v>
      </c>
      <c r="O207">
        <f t="shared" si="9"/>
        <v>12</v>
      </c>
      <c r="P207">
        <f t="shared" si="10"/>
        <v>0</v>
      </c>
      <c r="Q207" t="str">
        <f t="shared" si="11"/>
        <v>Normal</v>
      </c>
    </row>
    <row r="208" spans="1:17" ht="13.2" x14ac:dyDescent="0.25">
      <c r="A208" s="2" t="s">
        <v>852</v>
      </c>
      <c r="B208" s="2" t="s">
        <v>72</v>
      </c>
      <c r="C208" s="4" t="s">
        <v>646</v>
      </c>
      <c r="D208" s="4" t="s">
        <v>646</v>
      </c>
      <c r="E208" s="4" t="s">
        <v>646</v>
      </c>
      <c r="F208" s="4" t="s">
        <v>646</v>
      </c>
      <c r="G208" s="4" t="s">
        <v>646</v>
      </c>
      <c r="H208" s="4" t="s">
        <v>646</v>
      </c>
      <c r="I208" s="4" t="s">
        <v>646</v>
      </c>
      <c r="J208" s="4" t="s">
        <v>646</v>
      </c>
      <c r="K208" s="4" t="s">
        <v>646</v>
      </c>
      <c r="L208" s="4" t="s">
        <v>646</v>
      </c>
      <c r="M208" s="4" t="s">
        <v>646</v>
      </c>
      <c r="N208" s="4" t="s">
        <v>646</v>
      </c>
      <c r="O208">
        <f t="shared" si="9"/>
        <v>12</v>
      </c>
      <c r="P208">
        <f t="shared" si="10"/>
        <v>0</v>
      </c>
      <c r="Q208" t="str">
        <f t="shared" si="11"/>
        <v>Normal</v>
      </c>
    </row>
    <row r="209" spans="1:17" ht="13.2" x14ac:dyDescent="0.25">
      <c r="A209" s="2" t="s">
        <v>853</v>
      </c>
      <c r="B209" s="2" t="s">
        <v>63</v>
      </c>
      <c r="C209" s="4" t="s">
        <v>646</v>
      </c>
      <c r="D209" s="4" t="s">
        <v>646</v>
      </c>
      <c r="E209" s="4" t="s">
        <v>646</v>
      </c>
      <c r="F209" s="4" t="s">
        <v>646</v>
      </c>
      <c r="G209" s="4" t="s">
        <v>646</v>
      </c>
      <c r="H209" s="4" t="s">
        <v>646</v>
      </c>
      <c r="I209" s="4" t="s">
        <v>646</v>
      </c>
      <c r="J209" s="4" t="s">
        <v>646</v>
      </c>
      <c r="K209" s="4" t="s">
        <v>646</v>
      </c>
      <c r="L209" s="4" t="s">
        <v>646</v>
      </c>
      <c r="M209" s="4" t="s">
        <v>646</v>
      </c>
      <c r="N209" s="4" t="s">
        <v>646</v>
      </c>
      <c r="O209">
        <f t="shared" si="9"/>
        <v>12</v>
      </c>
      <c r="P209">
        <f t="shared" si="10"/>
        <v>0</v>
      </c>
      <c r="Q209" t="str">
        <f t="shared" si="11"/>
        <v>Normal</v>
      </c>
    </row>
    <row r="210" spans="1:17" ht="13.2" x14ac:dyDescent="0.25">
      <c r="A210" s="2" t="s">
        <v>854</v>
      </c>
      <c r="B210" s="2" t="s">
        <v>46</v>
      </c>
      <c r="C210" s="4" t="s">
        <v>646</v>
      </c>
      <c r="D210" s="4" t="s">
        <v>646</v>
      </c>
      <c r="E210" s="4" t="s">
        <v>646</v>
      </c>
      <c r="F210" s="4" t="s">
        <v>646</v>
      </c>
      <c r="G210" s="4" t="s">
        <v>646</v>
      </c>
      <c r="H210" s="4" t="s">
        <v>646</v>
      </c>
      <c r="I210" s="4" t="s">
        <v>646</v>
      </c>
      <c r="J210" s="4" t="s">
        <v>646</v>
      </c>
      <c r="K210" s="4" t="s">
        <v>646</v>
      </c>
      <c r="L210" s="4" t="s">
        <v>646</v>
      </c>
      <c r="M210" s="4" t="s">
        <v>646</v>
      </c>
      <c r="N210" s="4" t="s">
        <v>646</v>
      </c>
      <c r="O210">
        <f t="shared" si="9"/>
        <v>12</v>
      </c>
      <c r="P210">
        <f t="shared" si="10"/>
        <v>0</v>
      </c>
      <c r="Q210" t="str">
        <f t="shared" si="11"/>
        <v>Normal</v>
      </c>
    </row>
    <row r="211" spans="1:17" ht="13.2" x14ac:dyDescent="0.25">
      <c r="A211" s="2" t="s">
        <v>855</v>
      </c>
      <c r="B211" s="2" t="s">
        <v>30</v>
      </c>
      <c r="C211" s="4" t="s">
        <v>646</v>
      </c>
      <c r="D211" s="4" t="s">
        <v>646</v>
      </c>
      <c r="E211" s="4" t="s">
        <v>646</v>
      </c>
      <c r="F211" s="4" t="s">
        <v>646</v>
      </c>
      <c r="G211" s="4" t="s">
        <v>646</v>
      </c>
      <c r="H211" s="4" t="s">
        <v>646</v>
      </c>
      <c r="I211" s="4" t="s">
        <v>646</v>
      </c>
      <c r="J211" s="4" t="s">
        <v>646</v>
      </c>
      <c r="K211" s="4" t="s">
        <v>646</v>
      </c>
      <c r="L211" s="4" t="s">
        <v>646</v>
      </c>
      <c r="M211" s="4" t="s">
        <v>646</v>
      </c>
      <c r="N211" s="4" t="s">
        <v>646</v>
      </c>
      <c r="O211">
        <f t="shared" si="9"/>
        <v>12</v>
      </c>
      <c r="P211">
        <f t="shared" si="10"/>
        <v>0</v>
      </c>
      <c r="Q211" t="str">
        <f t="shared" si="11"/>
        <v>Normal</v>
      </c>
    </row>
    <row r="212" spans="1:17" ht="13.2" x14ac:dyDescent="0.25">
      <c r="A212" s="2" t="s">
        <v>856</v>
      </c>
      <c r="B212" s="2" t="s">
        <v>23</v>
      </c>
      <c r="C212" s="4" t="s">
        <v>646</v>
      </c>
      <c r="D212" s="4" t="s">
        <v>646</v>
      </c>
      <c r="E212" s="4" t="s">
        <v>646</v>
      </c>
      <c r="F212" s="4" t="s">
        <v>646</v>
      </c>
      <c r="G212" s="4" t="s">
        <v>646</v>
      </c>
      <c r="H212" s="4" t="s">
        <v>646</v>
      </c>
      <c r="I212" s="4" t="s">
        <v>646</v>
      </c>
      <c r="J212" s="4" t="s">
        <v>646</v>
      </c>
      <c r="K212" s="4" t="s">
        <v>646</v>
      </c>
      <c r="L212" s="4" t="s">
        <v>646</v>
      </c>
      <c r="M212" s="4" t="s">
        <v>646</v>
      </c>
      <c r="N212" s="4" t="s">
        <v>646</v>
      </c>
      <c r="O212">
        <f t="shared" si="9"/>
        <v>12</v>
      </c>
      <c r="P212">
        <f t="shared" si="10"/>
        <v>0</v>
      </c>
      <c r="Q212" t="str">
        <f t="shared" si="11"/>
        <v>Normal</v>
      </c>
    </row>
    <row r="213" spans="1:17" ht="13.2" x14ac:dyDescent="0.25">
      <c r="A213" s="2" t="s">
        <v>857</v>
      </c>
      <c r="B213" s="2" t="s">
        <v>19</v>
      </c>
      <c r="C213" s="4" t="s">
        <v>646</v>
      </c>
      <c r="D213" s="4" t="s">
        <v>646</v>
      </c>
      <c r="E213" s="4" t="s">
        <v>646</v>
      </c>
      <c r="F213" s="4" t="s">
        <v>646</v>
      </c>
      <c r="G213" s="4" t="s">
        <v>646</v>
      </c>
      <c r="H213" s="4" t="s">
        <v>646</v>
      </c>
      <c r="I213" s="4" t="s">
        <v>646</v>
      </c>
      <c r="J213" s="4" t="s">
        <v>646</v>
      </c>
      <c r="K213" s="4" t="s">
        <v>646</v>
      </c>
      <c r="L213" s="4" t="s">
        <v>646</v>
      </c>
      <c r="M213" s="4" t="s">
        <v>646</v>
      </c>
      <c r="N213" s="4" t="s">
        <v>646</v>
      </c>
      <c r="O213">
        <f t="shared" si="9"/>
        <v>12</v>
      </c>
      <c r="P213">
        <f t="shared" si="10"/>
        <v>0</v>
      </c>
      <c r="Q213" t="str">
        <f t="shared" si="11"/>
        <v>Normal</v>
      </c>
    </row>
    <row r="214" spans="1:17" ht="13.2" x14ac:dyDescent="0.25">
      <c r="A214" s="2" t="s">
        <v>858</v>
      </c>
      <c r="B214" s="2" t="s">
        <v>14</v>
      </c>
      <c r="C214" s="4" t="s">
        <v>646</v>
      </c>
      <c r="D214" s="4" t="s">
        <v>646</v>
      </c>
      <c r="E214" s="4" t="s">
        <v>646</v>
      </c>
      <c r="F214" s="4" t="s">
        <v>646</v>
      </c>
      <c r="G214" s="4" t="s">
        <v>646</v>
      </c>
      <c r="H214" s="4" t="s">
        <v>646</v>
      </c>
      <c r="I214" s="4" t="s">
        <v>646</v>
      </c>
      <c r="J214" s="4" t="s">
        <v>646</v>
      </c>
      <c r="K214" s="4" t="s">
        <v>646</v>
      </c>
      <c r="L214" s="4" t="s">
        <v>646</v>
      </c>
      <c r="M214" s="4" t="s">
        <v>646</v>
      </c>
      <c r="N214" s="4" t="s">
        <v>646</v>
      </c>
      <c r="O214">
        <f t="shared" si="9"/>
        <v>12</v>
      </c>
      <c r="P214">
        <f t="shared" si="10"/>
        <v>0</v>
      </c>
      <c r="Q214" t="str">
        <f t="shared" si="11"/>
        <v>Normal</v>
      </c>
    </row>
    <row r="215" spans="1:17" ht="13.2" x14ac:dyDescent="0.25">
      <c r="A215" s="2" t="s">
        <v>859</v>
      </c>
      <c r="B215" s="2" t="s">
        <v>547</v>
      </c>
      <c r="C215" s="4" t="s">
        <v>646</v>
      </c>
      <c r="D215" s="4" t="s">
        <v>646</v>
      </c>
      <c r="E215" s="4" t="s">
        <v>646</v>
      </c>
      <c r="F215" s="4" t="s">
        <v>646</v>
      </c>
      <c r="G215" s="4" t="s">
        <v>646</v>
      </c>
      <c r="H215" s="4" t="s">
        <v>646</v>
      </c>
      <c r="I215" s="4" t="s">
        <v>646</v>
      </c>
      <c r="J215" s="4" t="s">
        <v>646</v>
      </c>
      <c r="K215" s="4" t="s">
        <v>646</v>
      </c>
      <c r="L215" s="4" t="s">
        <v>646</v>
      </c>
      <c r="M215" s="4" t="s">
        <v>646</v>
      </c>
      <c r="N215" s="4" t="s">
        <v>646</v>
      </c>
      <c r="O215">
        <f t="shared" si="9"/>
        <v>12</v>
      </c>
      <c r="P215">
        <f t="shared" si="10"/>
        <v>0</v>
      </c>
      <c r="Q215" t="str">
        <f t="shared" si="11"/>
        <v>Normal</v>
      </c>
    </row>
    <row r="216" spans="1:17" ht="13.2" x14ac:dyDescent="0.25">
      <c r="A216" s="2" t="s">
        <v>860</v>
      </c>
      <c r="B216" s="2" t="s">
        <v>54</v>
      </c>
      <c r="C216" s="4" t="s">
        <v>646</v>
      </c>
      <c r="D216" s="4" t="s">
        <v>646</v>
      </c>
      <c r="E216" s="4" t="s">
        <v>646</v>
      </c>
      <c r="F216" s="4" t="s">
        <v>646</v>
      </c>
      <c r="G216" s="4" t="s">
        <v>646</v>
      </c>
      <c r="H216" s="4" t="s">
        <v>646</v>
      </c>
      <c r="I216" s="4" t="s">
        <v>646</v>
      </c>
      <c r="J216" s="4" t="s">
        <v>646</v>
      </c>
      <c r="K216" s="4" t="s">
        <v>646</v>
      </c>
      <c r="L216" s="4" t="s">
        <v>646</v>
      </c>
      <c r="M216" s="4" t="s">
        <v>646</v>
      </c>
      <c r="N216" s="4" t="s">
        <v>646</v>
      </c>
      <c r="O216">
        <f t="shared" si="9"/>
        <v>12</v>
      </c>
      <c r="P216">
        <f t="shared" si="10"/>
        <v>0</v>
      </c>
      <c r="Q216" t="str">
        <f t="shared" si="11"/>
        <v>Normal</v>
      </c>
    </row>
    <row r="217" spans="1:17" ht="13.2" x14ac:dyDescent="0.25">
      <c r="A217" s="2" t="s">
        <v>861</v>
      </c>
      <c r="B217" s="2" t="s">
        <v>240</v>
      </c>
      <c r="C217" s="4" t="s">
        <v>646</v>
      </c>
      <c r="D217" s="4" t="s">
        <v>646</v>
      </c>
      <c r="E217" s="4" t="s">
        <v>646</v>
      </c>
      <c r="F217" s="4" t="s">
        <v>646</v>
      </c>
      <c r="G217" s="4" t="s">
        <v>646</v>
      </c>
      <c r="H217" s="4" t="s">
        <v>646</v>
      </c>
      <c r="I217" s="4" t="s">
        <v>646</v>
      </c>
      <c r="J217" s="4" t="s">
        <v>646</v>
      </c>
      <c r="K217" s="4" t="s">
        <v>646</v>
      </c>
      <c r="L217" s="4" t="s">
        <v>646</v>
      </c>
      <c r="M217" s="4" t="s">
        <v>646</v>
      </c>
      <c r="N217" s="4" t="s">
        <v>646</v>
      </c>
      <c r="O217">
        <f t="shared" si="9"/>
        <v>12</v>
      </c>
      <c r="P217">
        <f t="shared" si="10"/>
        <v>0</v>
      </c>
      <c r="Q217" t="str">
        <f t="shared" si="11"/>
        <v>Normal</v>
      </c>
    </row>
  </sheetData>
  <autoFilter ref="A1:Q217" xr:uid="{00000000-0001-0000-0100-000000000000}"/>
  <conditionalFormatting sqref="A2:N217 B1:Q1">
    <cfRule type="expression" dxfId="4" priority="1">
      <formula>"C2=IF("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2.6640625" defaultRowHeight="15.75" customHeight="1" x14ac:dyDescent="0.25"/>
  <cols>
    <col min="1" max="1" width="23.44140625" customWidth="1"/>
    <col min="2" max="2" width="18.44140625" customWidth="1"/>
    <col min="6" max="6" width="14.109375" bestFit="1" customWidth="1"/>
    <col min="7" max="7" width="13.44140625" bestFit="1" customWidth="1"/>
  </cols>
  <sheetData>
    <row r="1" spans="1:7" x14ac:dyDescent="0.25">
      <c r="A1" s="1" t="s">
        <v>632</v>
      </c>
      <c r="B1" s="1" t="s">
        <v>2</v>
      </c>
      <c r="C1" s="3" t="s">
        <v>862</v>
      </c>
      <c r="D1" s="3" t="s">
        <v>863</v>
      </c>
      <c r="E1" s="9" t="s">
        <v>870</v>
      </c>
      <c r="F1" s="9" t="s">
        <v>864</v>
      </c>
      <c r="G1" s="9" t="s">
        <v>872</v>
      </c>
    </row>
    <row r="2" spans="1:7" x14ac:dyDescent="0.25">
      <c r="A2" s="2" t="s">
        <v>665</v>
      </c>
      <c r="B2" s="2" t="s">
        <v>8</v>
      </c>
      <c r="C2" s="4" t="s">
        <v>864</v>
      </c>
      <c r="D2" s="4" t="s">
        <v>865</v>
      </c>
      <c r="E2">
        <f t="shared" ref="E2:E65" si="0">+COUNTIF(C2:D2,"Pass")</f>
        <v>1</v>
      </c>
      <c r="F2">
        <f t="shared" ref="F2:F33" si="1">+COUNTIF(B2:E2,"No Submission")</f>
        <v>1</v>
      </c>
      <c r="G2" t="str">
        <f>IF(F2&gt;=1,"At Risk","Normal")</f>
        <v>At Risk</v>
      </c>
    </row>
    <row r="3" spans="1:7" x14ac:dyDescent="0.25">
      <c r="A3" s="2" t="s">
        <v>858</v>
      </c>
      <c r="B3" s="2" t="s">
        <v>14</v>
      </c>
      <c r="C3" s="4" t="s">
        <v>865</v>
      </c>
      <c r="D3" s="4" t="s">
        <v>865</v>
      </c>
      <c r="E3">
        <f t="shared" si="0"/>
        <v>2</v>
      </c>
      <c r="F3">
        <f t="shared" si="1"/>
        <v>0</v>
      </c>
      <c r="G3" t="str">
        <f t="shared" ref="G3:G66" si="2">IF(F3&gt;=1,"At Risk","Normal")</f>
        <v>Normal</v>
      </c>
    </row>
    <row r="4" spans="1:7" x14ac:dyDescent="0.25">
      <c r="A4" s="2" t="s">
        <v>857</v>
      </c>
      <c r="B4" s="2" t="s">
        <v>19</v>
      </c>
      <c r="C4" s="4" t="s">
        <v>865</v>
      </c>
      <c r="D4" s="4" t="s">
        <v>865</v>
      </c>
      <c r="E4">
        <f t="shared" si="0"/>
        <v>2</v>
      </c>
      <c r="F4">
        <f t="shared" si="1"/>
        <v>0</v>
      </c>
      <c r="G4" t="str">
        <f t="shared" si="2"/>
        <v>Normal</v>
      </c>
    </row>
    <row r="5" spans="1:7" x14ac:dyDescent="0.25">
      <c r="A5" s="2" t="s">
        <v>856</v>
      </c>
      <c r="B5" s="2" t="s">
        <v>23</v>
      </c>
      <c r="C5" s="4" t="s">
        <v>865</v>
      </c>
      <c r="D5" s="4" t="s">
        <v>865</v>
      </c>
      <c r="E5">
        <f t="shared" si="0"/>
        <v>2</v>
      </c>
      <c r="F5">
        <f t="shared" si="1"/>
        <v>0</v>
      </c>
      <c r="G5" t="str">
        <f t="shared" si="2"/>
        <v>Normal</v>
      </c>
    </row>
    <row r="6" spans="1:7" x14ac:dyDescent="0.25">
      <c r="A6" s="2" t="s">
        <v>685</v>
      </c>
      <c r="B6" s="2" t="s">
        <v>27</v>
      </c>
      <c r="C6" s="4" t="s">
        <v>865</v>
      </c>
      <c r="D6" s="4" t="s">
        <v>864</v>
      </c>
      <c r="E6">
        <f t="shared" si="0"/>
        <v>1</v>
      </c>
      <c r="F6">
        <f t="shared" si="1"/>
        <v>1</v>
      </c>
      <c r="G6" t="str">
        <f t="shared" si="2"/>
        <v>At Risk</v>
      </c>
    </row>
    <row r="7" spans="1:7" x14ac:dyDescent="0.25">
      <c r="A7" s="2" t="s">
        <v>855</v>
      </c>
      <c r="B7" s="2" t="s">
        <v>30</v>
      </c>
      <c r="C7" s="4" t="s">
        <v>865</v>
      </c>
      <c r="D7" s="4" t="s">
        <v>865</v>
      </c>
      <c r="E7">
        <f t="shared" si="0"/>
        <v>2</v>
      </c>
      <c r="F7">
        <f t="shared" si="1"/>
        <v>0</v>
      </c>
      <c r="G7" t="str">
        <f t="shared" si="2"/>
        <v>Normal</v>
      </c>
    </row>
    <row r="8" spans="1:7" x14ac:dyDescent="0.25">
      <c r="A8" s="2" t="s">
        <v>758</v>
      </c>
      <c r="B8" s="2" t="s">
        <v>33</v>
      </c>
      <c r="C8" s="4" t="s">
        <v>865</v>
      </c>
      <c r="D8" s="4" t="s">
        <v>865</v>
      </c>
      <c r="E8">
        <f t="shared" si="0"/>
        <v>2</v>
      </c>
      <c r="F8">
        <f t="shared" si="1"/>
        <v>0</v>
      </c>
      <c r="G8" t="str">
        <f t="shared" si="2"/>
        <v>Normal</v>
      </c>
    </row>
    <row r="9" spans="1:7" x14ac:dyDescent="0.25">
      <c r="A9" s="2" t="s">
        <v>711</v>
      </c>
      <c r="B9" s="2" t="s">
        <v>37</v>
      </c>
      <c r="C9" s="4" t="s">
        <v>865</v>
      </c>
      <c r="D9" s="4" t="s">
        <v>865</v>
      </c>
      <c r="E9">
        <f t="shared" si="0"/>
        <v>2</v>
      </c>
      <c r="F9">
        <f t="shared" si="1"/>
        <v>0</v>
      </c>
      <c r="G9" t="str">
        <f t="shared" si="2"/>
        <v>Normal</v>
      </c>
    </row>
    <row r="10" spans="1:7" x14ac:dyDescent="0.25">
      <c r="A10" s="2" t="s">
        <v>835</v>
      </c>
      <c r="B10" s="2" t="s">
        <v>42</v>
      </c>
      <c r="C10" s="4" t="s">
        <v>865</v>
      </c>
      <c r="D10" s="4" t="s">
        <v>864</v>
      </c>
      <c r="E10">
        <f t="shared" si="0"/>
        <v>1</v>
      </c>
      <c r="F10">
        <f t="shared" si="1"/>
        <v>1</v>
      </c>
      <c r="G10" t="str">
        <f t="shared" si="2"/>
        <v>At Risk</v>
      </c>
    </row>
    <row r="11" spans="1:7" x14ac:dyDescent="0.25">
      <c r="A11" s="2" t="s">
        <v>854</v>
      </c>
      <c r="B11" s="2" t="s">
        <v>46</v>
      </c>
      <c r="C11" s="4" t="s">
        <v>865</v>
      </c>
      <c r="D11" s="4" t="s">
        <v>865</v>
      </c>
      <c r="E11">
        <f t="shared" si="0"/>
        <v>2</v>
      </c>
      <c r="F11">
        <f t="shared" si="1"/>
        <v>0</v>
      </c>
      <c r="G11" t="str">
        <f t="shared" si="2"/>
        <v>Normal</v>
      </c>
    </row>
    <row r="12" spans="1:7" x14ac:dyDescent="0.25">
      <c r="A12" s="2" t="s">
        <v>693</v>
      </c>
      <c r="B12" s="2" t="s">
        <v>50</v>
      </c>
      <c r="C12" s="4" t="s">
        <v>865</v>
      </c>
      <c r="D12" s="4" t="s">
        <v>865</v>
      </c>
      <c r="E12">
        <f t="shared" si="0"/>
        <v>2</v>
      </c>
      <c r="F12">
        <f t="shared" si="1"/>
        <v>0</v>
      </c>
      <c r="G12" t="str">
        <f t="shared" si="2"/>
        <v>Normal</v>
      </c>
    </row>
    <row r="13" spans="1:7" x14ac:dyDescent="0.25">
      <c r="A13" s="2" t="s">
        <v>860</v>
      </c>
      <c r="B13" s="2" t="s">
        <v>54</v>
      </c>
      <c r="C13" s="4" t="s">
        <v>865</v>
      </c>
      <c r="D13" s="4" t="s">
        <v>865</v>
      </c>
      <c r="E13">
        <f t="shared" si="0"/>
        <v>2</v>
      </c>
      <c r="F13">
        <f t="shared" si="1"/>
        <v>0</v>
      </c>
      <c r="G13" t="str">
        <f t="shared" si="2"/>
        <v>Normal</v>
      </c>
    </row>
    <row r="14" spans="1:7" x14ac:dyDescent="0.25">
      <c r="A14" s="2" t="s">
        <v>652</v>
      </c>
      <c r="B14" s="2" t="s">
        <v>56</v>
      </c>
      <c r="C14" s="4" t="s">
        <v>865</v>
      </c>
      <c r="D14" s="4" t="s">
        <v>864</v>
      </c>
      <c r="E14">
        <f t="shared" si="0"/>
        <v>1</v>
      </c>
      <c r="F14">
        <f t="shared" si="1"/>
        <v>1</v>
      </c>
      <c r="G14" t="str">
        <f t="shared" si="2"/>
        <v>At Risk</v>
      </c>
    </row>
    <row r="15" spans="1:7" x14ac:dyDescent="0.25">
      <c r="A15" s="2" t="s">
        <v>808</v>
      </c>
      <c r="B15" s="2" t="s">
        <v>60</v>
      </c>
      <c r="C15" s="4" t="s">
        <v>865</v>
      </c>
      <c r="D15" s="4" t="s">
        <v>865</v>
      </c>
      <c r="E15">
        <f t="shared" si="0"/>
        <v>2</v>
      </c>
      <c r="F15">
        <f t="shared" si="1"/>
        <v>0</v>
      </c>
      <c r="G15" t="str">
        <f t="shared" si="2"/>
        <v>Normal</v>
      </c>
    </row>
    <row r="16" spans="1:7" x14ac:dyDescent="0.25">
      <c r="A16" s="2" t="s">
        <v>853</v>
      </c>
      <c r="B16" s="2" t="s">
        <v>63</v>
      </c>
      <c r="C16" s="4" t="s">
        <v>865</v>
      </c>
      <c r="D16" s="4" t="s">
        <v>865</v>
      </c>
      <c r="E16">
        <f t="shared" si="0"/>
        <v>2</v>
      </c>
      <c r="F16">
        <f t="shared" si="1"/>
        <v>0</v>
      </c>
      <c r="G16" t="str">
        <f t="shared" si="2"/>
        <v>Normal</v>
      </c>
    </row>
    <row r="17" spans="1:7" x14ac:dyDescent="0.25">
      <c r="A17" s="2" t="s">
        <v>783</v>
      </c>
      <c r="B17" s="2" t="s">
        <v>66</v>
      </c>
      <c r="C17" s="4" t="s">
        <v>865</v>
      </c>
      <c r="D17" s="4" t="s">
        <v>865</v>
      </c>
      <c r="E17">
        <f t="shared" si="0"/>
        <v>2</v>
      </c>
      <c r="F17">
        <f t="shared" si="1"/>
        <v>0</v>
      </c>
      <c r="G17" t="str">
        <f t="shared" si="2"/>
        <v>Normal</v>
      </c>
    </row>
    <row r="18" spans="1:7" x14ac:dyDescent="0.25">
      <c r="A18" s="2" t="s">
        <v>710</v>
      </c>
      <c r="B18" s="2" t="s">
        <v>69</v>
      </c>
      <c r="C18" s="4" t="s">
        <v>865</v>
      </c>
      <c r="D18" s="4" t="s">
        <v>864</v>
      </c>
      <c r="E18">
        <f t="shared" si="0"/>
        <v>1</v>
      </c>
      <c r="F18">
        <f t="shared" si="1"/>
        <v>1</v>
      </c>
      <c r="G18" t="str">
        <f t="shared" si="2"/>
        <v>At Risk</v>
      </c>
    </row>
    <row r="19" spans="1:7" x14ac:dyDescent="0.25">
      <c r="A19" s="2" t="s">
        <v>852</v>
      </c>
      <c r="B19" s="2" t="s">
        <v>72</v>
      </c>
      <c r="C19" s="4" t="s">
        <v>865</v>
      </c>
      <c r="D19" s="4" t="s">
        <v>865</v>
      </c>
      <c r="E19">
        <f t="shared" si="0"/>
        <v>2</v>
      </c>
      <c r="F19">
        <f t="shared" si="1"/>
        <v>0</v>
      </c>
      <c r="G19" t="str">
        <f t="shared" si="2"/>
        <v>Normal</v>
      </c>
    </row>
    <row r="20" spans="1:7" x14ac:dyDescent="0.25">
      <c r="A20" s="2" t="s">
        <v>851</v>
      </c>
      <c r="B20" s="2" t="s">
        <v>74</v>
      </c>
      <c r="C20" s="4" t="s">
        <v>865</v>
      </c>
      <c r="D20" s="4" t="s">
        <v>865</v>
      </c>
      <c r="E20">
        <f t="shared" si="0"/>
        <v>2</v>
      </c>
      <c r="F20">
        <f t="shared" si="1"/>
        <v>0</v>
      </c>
      <c r="G20" t="str">
        <f t="shared" si="2"/>
        <v>Normal</v>
      </c>
    </row>
    <row r="21" spans="1:7" x14ac:dyDescent="0.25">
      <c r="A21" s="2" t="s">
        <v>684</v>
      </c>
      <c r="B21" s="2" t="s">
        <v>77</v>
      </c>
      <c r="C21" s="4" t="s">
        <v>864</v>
      </c>
      <c r="D21" s="4" t="s">
        <v>865</v>
      </c>
      <c r="E21">
        <f t="shared" si="0"/>
        <v>1</v>
      </c>
      <c r="F21">
        <f t="shared" si="1"/>
        <v>1</v>
      </c>
      <c r="G21" t="str">
        <f t="shared" si="2"/>
        <v>At Risk</v>
      </c>
    </row>
    <row r="22" spans="1:7" x14ac:dyDescent="0.25">
      <c r="A22" s="2" t="s">
        <v>850</v>
      </c>
      <c r="B22" s="2" t="s">
        <v>81</v>
      </c>
      <c r="C22" s="4" t="s">
        <v>865</v>
      </c>
      <c r="D22" s="4" t="s">
        <v>865</v>
      </c>
      <c r="E22">
        <f t="shared" si="0"/>
        <v>2</v>
      </c>
      <c r="F22">
        <f t="shared" si="1"/>
        <v>0</v>
      </c>
      <c r="G22" t="str">
        <f t="shared" si="2"/>
        <v>Normal</v>
      </c>
    </row>
    <row r="23" spans="1:7" x14ac:dyDescent="0.25">
      <c r="A23" s="2" t="s">
        <v>833</v>
      </c>
      <c r="B23" s="2" t="s">
        <v>84</v>
      </c>
      <c r="C23" s="4" t="s">
        <v>865</v>
      </c>
      <c r="D23" s="4" t="s">
        <v>865</v>
      </c>
      <c r="E23">
        <f t="shared" si="0"/>
        <v>2</v>
      </c>
      <c r="F23">
        <f t="shared" si="1"/>
        <v>0</v>
      </c>
      <c r="G23" t="str">
        <f t="shared" si="2"/>
        <v>Normal</v>
      </c>
    </row>
    <row r="24" spans="1:7" x14ac:dyDescent="0.25">
      <c r="A24" s="2" t="s">
        <v>848</v>
      </c>
      <c r="B24" s="2" t="s">
        <v>87</v>
      </c>
      <c r="C24" s="4" t="s">
        <v>865</v>
      </c>
      <c r="D24" s="4" t="s">
        <v>864</v>
      </c>
      <c r="E24">
        <f t="shared" si="0"/>
        <v>1</v>
      </c>
      <c r="F24">
        <f t="shared" si="1"/>
        <v>1</v>
      </c>
      <c r="G24" t="str">
        <f t="shared" si="2"/>
        <v>At Risk</v>
      </c>
    </row>
    <row r="25" spans="1:7" x14ac:dyDescent="0.25">
      <c r="A25" s="2" t="s">
        <v>849</v>
      </c>
      <c r="B25" s="2" t="s">
        <v>90</v>
      </c>
      <c r="C25" s="4" t="s">
        <v>865</v>
      </c>
      <c r="D25" s="4" t="s">
        <v>865</v>
      </c>
      <c r="E25">
        <f t="shared" si="0"/>
        <v>2</v>
      </c>
      <c r="F25">
        <f t="shared" si="1"/>
        <v>0</v>
      </c>
      <c r="G25" t="str">
        <f t="shared" si="2"/>
        <v>Normal</v>
      </c>
    </row>
    <row r="26" spans="1:7" x14ac:dyDescent="0.25">
      <c r="A26" s="2" t="s">
        <v>844</v>
      </c>
      <c r="B26" s="2" t="s">
        <v>93</v>
      </c>
      <c r="C26" s="4" t="s">
        <v>865</v>
      </c>
      <c r="D26" s="4" t="s">
        <v>865</v>
      </c>
      <c r="E26">
        <f t="shared" si="0"/>
        <v>2</v>
      </c>
      <c r="F26">
        <f t="shared" si="1"/>
        <v>0</v>
      </c>
      <c r="G26" t="str">
        <f t="shared" si="2"/>
        <v>Normal</v>
      </c>
    </row>
    <row r="27" spans="1:7" x14ac:dyDescent="0.25">
      <c r="A27" s="2" t="s">
        <v>846</v>
      </c>
      <c r="B27" s="2" t="s">
        <v>96</v>
      </c>
      <c r="C27" s="4" t="s">
        <v>865</v>
      </c>
      <c r="D27" s="4" t="s">
        <v>865</v>
      </c>
      <c r="E27">
        <f t="shared" si="0"/>
        <v>2</v>
      </c>
      <c r="F27">
        <f t="shared" si="1"/>
        <v>0</v>
      </c>
      <c r="G27" t="str">
        <f t="shared" si="2"/>
        <v>Normal</v>
      </c>
    </row>
    <row r="28" spans="1:7" x14ac:dyDescent="0.25">
      <c r="A28" s="2" t="s">
        <v>650</v>
      </c>
      <c r="B28" s="2" t="s">
        <v>99</v>
      </c>
      <c r="C28" s="4" t="s">
        <v>865</v>
      </c>
      <c r="D28" s="4" t="s">
        <v>865</v>
      </c>
      <c r="E28">
        <f t="shared" si="0"/>
        <v>2</v>
      </c>
      <c r="F28">
        <f t="shared" si="1"/>
        <v>0</v>
      </c>
      <c r="G28" t="str">
        <f t="shared" si="2"/>
        <v>Normal</v>
      </c>
    </row>
    <row r="29" spans="1:7" x14ac:dyDescent="0.25">
      <c r="A29" s="2" t="s">
        <v>845</v>
      </c>
      <c r="B29" s="2" t="s">
        <v>102</v>
      </c>
      <c r="C29" s="4" t="s">
        <v>865</v>
      </c>
      <c r="D29" s="4" t="s">
        <v>864</v>
      </c>
      <c r="E29">
        <f t="shared" si="0"/>
        <v>1</v>
      </c>
      <c r="F29">
        <f t="shared" si="1"/>
        <v>1</v>
      </c>
      <c r="G29" t="str">
        <f t="shared" si="2"/>
        <v>At Risk</v>
      </c>
    </row>
    <row r="30" spans="1:7" x14ac:dyDescent="0.25">
      <c r="A30" s="2" t="s">
        <v>701</v>
      </c>
      <c r="B30" s="2" t="s">
        <v>105</v>
      </c>
      <c r="C30" s="4" t="s">
        <v>865</v>
      </c>
      <c r="D30" s="4" t="s">
        <v>865</v>
      </c>
      <c r="E30">
        <f t="shared" si="0"/>
        <v>2</v>
      </c>
      <c r="F30">
        <f t="shared" si="1"/>
        <v>0</v>
      </c>
      <c r="G30" t="str">
        <f t="shared" si="2"/>
        <v>Normal</v>
      </c>
    </row>
    <row r="31" spans="1:7" x14ac:dyDescent="0.25">
      <c r="A31" s="2" t="s">
        <v>843</v>
      </c>
      <c r="B31" s="2" t="s">
        <v>108</v>
      </c>
      <c r="C31" s="4" t="s">
        <v>865</v>
      </c>
      <c r="D31" s="4" t="s">
        <v>865</v>
      </c>
      <c r="E31">
        <f t="shared" si="0"/>
        <v>2</v>
      </c>
      <c r="F31">
        <f t="shared" si="1"/>
        <v>0</v>
      </c>
      <c r="G31" t="str">
        <f t="shared" si="2"/>
        <v>Normal</v>
      </c>
    </row>
    <row r="32" spans="1:7" x14ac:dyDescent="0.25">
      <c r="A32" s="2" t="s">
        <v>837</v>
      </c>
      <c r="B32" s="2" t="s">
        <v>111</v>
      </c>
      <c r="C32" s="4" t="s">
        <v>865</v>
      </c>
      <c r="D32" s="4" t="s">
        <v>865</v>
      </c>
      <c r="E32">
        <f t="shared" si="0"/>
        <v>2</v>
      </c>
      <c r="F32">
        <f t="shared" si="1"/>
        <v>0</v>
      </c>
      <c r="G32" t="str">
        <f t="shared" si="2"/>
        <v>Normal</v>
      </c>
    </row>
    <row r="33" spans="1:7" x14ac:dyDescent="0.25">
      <c r="A33" s="2" t="s">
        <v>649</v>
      </c>
      <c r="B33" s="2" t="s">
        <v>113</v>
      </c>
      <c r="C33" s="4" t="s">
        <v>865</v>
      </c>
      <c r="D33" s="4" t="s">
        <v>865</v>
      </c>
      <c r="E33">
        <f t="shared" si="0"/>
        <v>2</v>
      </c>
      <c r="F33">
        <f t="shared" si="1"/>
        <v>0</v>
      </c>
      <c r="G33" t="str">
        <f t="shared" si="2"/>
        <v>Normal</v>
      </c>
    </row>
    <row r="34" spans="1:7" x14ac:dyDescent="0.25">
      <c r="A34" s="2" t="s">
        <v>683</v>
      </c>
      <c r="B34" s="2" t="s">
        <v>116</v>
      </c>
      <c r="C34" s="4" t="s">
        <v>865</v>
      </c>
      <c r="D34" s="4" t="s">
        <v>864</v>
      </c>
      <c r="E34">
        <f t="shared" si="0"/>
        <v>1</v>
      </c>
      <c r="F34">
        <f t="shared" ref="F34:F65" si="3">+COUNTIF(B34:E34,"No Submission")</f>
        <v>1</v>
      </c>
      <c r="G34" t="str">
        <f t="shared" si="2"/>
        <v>At Risk</v>
      </c>
    </row>
    <row r="35" spans="1:7" x14ac:dyDescent="0.25">
      <c r="A35" s="2" t="s">
        <v>675</v>
      </c>
      <c r="B35" s="2" t="s">
        <v>119</v>
      </c>
      <c r="C35" s="4" t="s">
        <v>864</v>
      </c>
      <c r="D35" s="4" t="s">
        <v>865</v>
      </c>
      <c r="E35">
        <f t="shared" si="0"/>
        <v>1</v>
      </c>
      <c r="F35">
        <f t="shared" si="3"/>
        <v>1</v>
      </c>
      <c r="G35" t="str">
        <f t="shared" si="2"/>
        <v>At Risk</v>
      </c>
    </row>
    <row r="36" spans="1:7" x14ac:dyDescent="0.25">
      <c r="A36" s="2" t="s">
        <v>738</v>
      </c>
      <c r="B36" s="2" t="s">
        <v>122</v>
      </c>
      <c r="C36" s="4" t="s">
        <v>865</v>
      </c>
      <c r="D36" s="4" t="s">
        <v>865</v>
      </c>
      <c r="E36">
        <f t="shared" si="0"/>
        <v>2</v>
      </c>
      <c r="F36">
        <f t="shared" si="3"/>
        <v>0</v>
      </c>
      <c r="G36" t="str">
        <f t="shared" si="2"/>
        <v>Normal</v>
      </c>
    </row>
    <row r="37" spans="1:7" x14ac:dyDescent="0.25">
      <c r="A37" s="2" t="s">
        <v>836</v>
      </c>
      <c r="B37" s="2" t="s">
        <v>124</v>
      </c>
      <c r="C37" s="4" t="s">
        <v>865</v>
      </c>
      <c r="D37" s="4" t="s">
        <v>865</v>
      </c>
      <c r="E37">
        <f t="shared" si="0"/>
        <v>2</v>
      </c>
      <c r="F37">
        <f t="shared" si="3"/>
        <v>0</v>
      </c>
      <c r="G37" t="str">
        <f t="shared" si="2"/>
        <v>Normal</v>
      </c>
    </row>
    <row r="38" spans="1:7" x14ac:dyDescent="0.25">
      <c r="A38" s="2" t="s">
        <v>834</v>
      </c>
      <c r="B38" s="2" t="s">
        <v>127</v>
      </c>
      <c r="C38" s="4" t="s">
        <v>865</v>
      </c>
      <c r="D38" s="4" t="s">
        <v>865</v>
      </c>
      <c r="E38">
        <f t="shared" si="0"/>
        <v>2</v>
      </c>
      <c r="F38">
        <f t="shared" si="3"/>
        <v>0</v>
      </c>
      <c r="G38" t="str">
        <f t="shared" si="2"/>
        <v>Normal</v>
      </c>
    </row>
    <row r="39" spans="1:7" x14ac:dyDescent="0.25">
      <c r="A39" s="2" t="s">
        <v>822</v>
      </c>
      <c r="B39" s="2" t="s">
        <v>130</v>
      </c>
      <c r="C39" s="4" t="s">
        <v>865</v>
      </c>
      <c r="D39" s="4" t="s">
        <v>864</v>
      </c>
      <c r="E39">
        <f t="shared" si="0"/>
        <v>1</v>
      </c>
      <c r="F39">
        <f t="shared" si="3"/>
        <v>1</v>
      </c>
      <c r="G39" t="str">
        <f t="shared" si="2"/>
        <v>At Risk</v>
      </c>
    </row>
    <row r="40" spans="1:7" x14ac:dyDescent="0.25">
      <c r="A40" s="2" t="s">
        <v>823</v>
      </c>
      <c r="B40" s="2" t="s">
        <v>132</v>
      </c>
      <c r="C40" s="4" t="s">
        <v>865</v>
      </c>
      <c r="D40" s="4" t="s">
        <v>865</v>
      </c>
      <c r="E40">
        <f t="shared" si="0"/>
        <v>2</v>
      </c>
      <c r="F40">
        <f t="shared" si="3"/>
        <v>0</v>
      </c>
      <c r="G40" t="str">
        <f t="shared" si="2"/>
        <v>Normal</v>
      </c>
    </row>
    <row r="41" spans="1:7" x14ac:dyDescent="0.25">
      <c r="A41" s="2" t="s">
        <v>743</v>
      </c>
      <c r="B41" s="2" t="s">
        <v>134</v>
      </c>
      <c r="C41" s="4" t="s">
        <v>865</v>
      </c>
      <c r="D41" s="4" t="s">
        <v>865</v>
      </c>
      <c r="E41">
        <f t="shared" si="0"/>
        <v>2</v>
      </c>
      <c r="F41">
        <f t="shared" si="3"/>
        <v>0</v>
      </c>
      <c r="G41" t="str">
        <f t="shared" si="2"/>
        <v>Normal</v>
      </c>
    </row>
    <row r="42" spans="1:7" x14ac:dyDescent="0.25">
      <c r="A42" s="2" t="s">
        <v>674</v>
      </c>
      <c r="B42" s="2" t="s">
        <v>137</v>
      </c>
      <c r="C42" s="4" t="s">
        <v>864</v>
      </c>
      <c r="D42" s="4" t="s">
        <v>865</v>
      </c>
      <c r="E42">
        <f t="shared" si="0"/>
        <v>1</v>
      </c>
      <c r="F42">
        <f t="shared" si="3"/>
        <v>1</v>
      </c>
      <c r="G42" t="str">
        <f t="shared" si="2"/>
        <v>At Risk</v>
      </c>
    </row>
    <row r="43" spans="1:7" x14ac:dyDescent="0.25">
      <c r="A43" s="2" t="s">
        <v>832</v>
      </c>
      <c r="B43" s="2" t="s">
        <v>140</v>
      </c>
      <c r="C43" s="4" t="s">
        <v>865</v>
      </c>
      <c r="D43" s="4" t="s">
        <v>865</v>
      </c>
      <c r="E43">
        <f t="shared" si="0"/>
        <v>2</v>
      </c>
      <c r="F43">
        <f t="shared" si="3"/>
        <v>0</v>
      </c>
      <c r="G43" t="str">
        <f t="shared" si="2"/>
        <v>Normal</v>
      </c>
    </row>
    <row r="44" spans="1:7" x14ac:dyDescent="0.25">
      <c r="A44" s="2" t="s">
        <v>827</v>
      </c>
      <c r="B44" s="2" t="s">
        <v>143</v>
      </c>
      <c r="C44" s="4" t="s">
        <v>865</v>
      </c>
      <c r="D44" s="4" t="s">
        <v>864</v>
      </c>
      <c r="E44">
        <f t="shared" si="0"/>
        <v>1</v>
      </c>
      <c r="F44">
        <f t="shared" si="3"/>
        <v>1</v>
      </c>
      <c r="G44" t="str">
        <f t="shared" si="2"/>
        <v>At Risk</v>
      </c>
    </row>
    <row r="45" spans="1:7" x14ac:dyDescent="0.25">
      <c r="A45" s="2" t="s">
        <v>821</v>
      </c>
      <c r="B45" s="2" t="s">
        <v>146</v>
      </c>
      <c r="C45" s="4" t="s">
        <v>865</v>
      </c>
      <c r="D45" s="4" t="s">
        <v>865</v>
      </c>
      <c r="E45">
        <f t="shared" si="0"/>
        <v>2</v>
      </c>
      <c r="F45">
        <f t="shared" si="3"/>
        <v>0</v>
      </c>
      <c r="G45" t="str">
        <f t="shared" si="2"/>
        <v>Normal</v>
      </c>
    </row>
    <row r="46" spans="1:7" x14ac:dyDescent="0.25">
      <c r="A46" s="2" t="s">
        <v>825</v>
      </c>
      <c r="B46" s="2" t="s">
        <v>149</v>
      </c>
      <c r="C46" s="4" t="s">
        <v>865</v>
      </c>
      <c r="D46" s="4" t="s">
        <v>865</v>
      </c>
      <c r="E46">
        <f t="shared" si="0"/>
        <v>2</v>
      </c>
      <c r="F46">
        <f t="shared" si="3"/>
        <v>0</v>
      </c>
      <c r="G46" t="str">
        <f t="shared" si="2"/>
        <v>Normal</v>
      </c>
    </row>
    <row r="47" spans="1:7" x14ac:dyDescent="0.25">
      <c r="A47" s="2" t="s">
        <v>824</v>
      </c>
      <c r="B47" s="2" t="s">
        <v>152</v>
      </c>
      <c r="C47" s="4" t="s">
        <v>865</v>
      </c>
      <c r="D47" s="4" t="s">
        <v>865</v>
      </c>
      <c r="E47">
        <f t="shared" si="0"/>
        <v>2</v>
      </c>
      <c r="F47">
        <f t="shared" si="3"/>
        <v>0</v>
      </c>
      <c r="G47" t="str">
        <f t="shared" si="2"/>
        <v>Normal</v>
      </c>
    </row>
    <row r="48" spans="1:7" x14ac:dyDescent="0.25">
      <c r="A48" s="2" t="s">
        <v>751</v>
      </c>
      <c r="B48" s="2" t="s">
        <v>155</v>
      </c>
      <c r="C48" s="4" t="s">
        <v>865</v>
      </c>
      <c r="D48" s="4" t="s">
        <v>865</v>
      </c>
      <c r="E48">
        <f t="shared" si="0"/>
        <v>2</v>
      </c>
      <c r="F48">
        <f t="shared" si="3"/>
        <v>0</v>
      </c>
      <c r="G48" t="str">
        <f t="shared" si="2"/>
        <v>Normal</v>
      </c>
    </row>
    <row r="49" spans="1:7" x14ac:dyDescent="0.25">
      <c r="A49" s="2" t="s">
        <v>830</v>
      </c>
      <c r="B49" s="2" t="s">
        <v>158</v>
      </c>
      <c r="C49" s="4" t="s">
        <v>865</v>
      </c>
      <c r="D49" s="4" t="s">
        <v>865</v>
      </c>
      <c r="E49">
        <f t="shared" si="0"/>
        <v>2</v>
      </c>
      <c r="F49">
        <f t="shared" si="3"/>
        <v>0</v>
      </c>
      <c r="G49" t="str">
        <f t="shared" si="2"/>
        <v>Normal</v>
      </c>
    </row>
    <row r="50" spans="1:7" x14ac:dyDescent="0.25">
      <c r="A50" s="2" t="s">
        <v>682</v>
      </c>
      <c r="B50" s="2" t="s">
        <v>161</v>
      </c>
      <c r="C50" s="4" t="s">
        <v>865</v>
      </c>
      <c r="D50" s="4" t="s">
        <v>864</v>
      </c>
      <c r="E50">
        <f t="shared" si="0"/>
        <v>1</v>
      </c>
      <c r="F50">
        <f t="shared" si="3"/>
        <v>1</v>
      </c>
      <c r="G50" t="str">
        <f t="shared" si="2"/>
        <v>At Risk</v>
      </c>
    </row>
    <row r="51" spans="1:7" x14ac:dyDescent="0.25">
      <c r="A51" s="2" t="s">
        <v>829</v>
      </c>
      <c r="B51" s="2" t="s">
        <v>164</v>
      </c>
      <c r="C51" s="4" t="s">
        <v>865</v>
      </c>
      <c r="D51" s="4" t="s">
        <v>865</v>
      </c>
      <c r="E51">
        <f t="shared" si="0"/>
        <v>2</v>
      </c>
      <c r="F51">
        <f t="shared" si="3"/>
        <v>0</v>
      </c>
      <c r="G51" t="str">
        <f t="shared" si="2"/>
        <v>Normal</v>
      </c>
    </row>
    <row r="52" spans="1:7" x14ac:dyDescent="0.25">
      <c r="A52" s="2" t="s">
        <v>831</v>
      </c>
      <c r="B52" s="2" t="s">
        <v>167</v>
      </c>
      <c r="C52" s="4" t="s">
        <v>865</v>
      </c>
      <c r="D52" s="4" t="s">
        <v>865</v>
      </c>
      <c r="E52">
        <f t="shared" si="0"/>
        <v>2</v>
      </c>
      <c r="F52">
        <f t="shared" si="3"/>
        <v>0</v>
      </c>
      <c r="G52" t="str">
        <f t="shared" si="2"/>
        <v>Normal</v>
      </c>
    </row>
    <row r="53" spans="1:7" x14ac:dyDescent="0.25">
      <c r="A53" s="2" t="s">
        <v>828</v>
      </c>
      <c r="B53" s="2" t="s">
        <v>170</v>
      </c>
      <c r="C53" s="4" t="s">
        <v>865</v>
      </c>
      <c r="D53" s="4" t="s">
        <v>865</v>
      </c>
      <c r="E53">
        <f t="shared" si="0"/>
        <v>2</v>
      </c>
      <c r="F53">
        <f t="shared" si="3"/>
        <v>0</v>
      </c>
      <c r="G53" t="str">
        <f t="shared" si="2"/>
        <v>Normal</v>
      </c>
    </row>
    <row r="54" spans="1:7" x14ac:dyDescent="0.25">
      <c r="A54" s="2" t="s">
        <v>819</v>
      </c>
      <c r="B54" s="2" t="s">
        <v>173</v>
      </c>
      <c r="C54" s="4" t="s">
        <v>865</v>
      </c>
      <c r="D54" s="4" t="s">
        <v>865</v>
      </c>
      <c r="E54">
        <f t="shared" si="0"/>
        <v>2</v>
      </c>
      <c r="F54">
        <f t="shared" si="3"/>
        <v>0</v>
      </c>
      <c r="G54" t="str">
        <f t="shared" si="2"/>
        <v>Normal</v>
      </c>
    </row>
    <row r="55" spans="1:7" x14ac:dyDescent="0.25">
      <c r="A55" s="2" t="s">
        <v>814</v>
      </c>
      <c r="B55" s="2" t="s">
        <v>175</v>
      </c>
      <c r="C55" s="4" t="s">
        <v>865</v>
      </c>
      <c r="D55" s="4" t="s">
        <v>865</v>
      </c>
      <c r="E55">
        <f t="shared" si="0"/>
        <v>2</v>
      </c>
      <c r="F55">
        <f t="shared" si="3"/>
        <v>0</v>
      </c>
      <c r="G55" t="str">
        <f t="shared" si="2"/>
        <v>Normal</v>
      </c>
    </row>
    <row r="56" spans="1:7" x14ac:dyDescent="0.25">
      <c r="A56" s="2" t="s">
        <v>812</v>
      </c>
      <c r="B56" s="2" t="s">
        <v>178</v>
      </c>
      <c r="C56" s="4" t="s">
        <v>865</v>
      </c>
      <c r="D56" s="4" t="s">
        <v>865</v>
      </c>
      <c r="E56">
        <f t="shared" si="0"/>
        <v>2</v>
      </c>
      <c r="F56">
        <f t="shared" si="3"/>
        <v>0</v>
      </c>
      <c r="G56" t="str">
        <f t="shared" si="2"/>
        <v>Normal</v>
      </c>
    </row>
    <row r="57" spans="1:7" x14ac:dyDescent="0.25">
      <c r="A57" s="2" t="s">
        <v>841</v>
      </c>
      <c r="B57" s="2" t="s">
        <v>181</v>
      </c>
      <c r="C57" s="4" t="s">
        <v>865</v>
      </c>
      <c r="D57" s="4" t="s">
        <v>865</v>
      </c>
      <c r="E57">
        <f t="shared" si="0"/>
        <v>2</v>
      </c>
      <c r="F57">
        <f t="shared" si="3"/>
        <v>0</v>
      </c>
      <c r="G57" t="str">
        <f t="shared" si="2"/>
        <v>Normal</v>
      </c>
    </row>
    <row r="58" spans="1:7" x14ac:dyDescent="0.25">
      <c r="A58" s="2" t="s">
        <v>817</v>
      </c>
      <c r="B58" s="2" t="s">
        <v>184</v>
      </c>
      <c r="C58" s="4" t="s">
        <v>865</v>
      </c>
      <c r="D58" s="4" t="s">
        <v>865</v>
      </c>
      <c r="E58">
        <f t="shared" si="0"/>
        <v>2</v>
      </c>
      <c r="F58">
        <f t="shared" si="3"/>
        <v>0</v>
      </c>
      <c r="G58" t="str">
        <f t="shared" si="2"/>
        <v>Normal</v>
      </c>
    </row>
    <row r="59" spans="1:7" x14ac:dyDescent="0.25">
      <c r="A59" s="2" t="s">
        <v>759</v>
      </c>
      <c r="B59" s="2" t="s">
        <v>187</v>
      </c>
      <c r="C59" s="4" t="s">
        <v>865</v>
      </c>
      <c r="D59" s="4" t="s">
        <v>864</v>
      </c>
      <c r="E59">
        <f t="shared" si="0"/>
        <v>1</v>
      </c>
      <c r="F59">
        <f t="shared" si="3"/>
        <v>1</v>
      </c>
      <c r="G59" t="str">
        <f t="shared" si="2"/>
        <v>At Risk</v>
      </c>
    </row>
    <row r="60" spans="1:7" x14ac:dyDescent="0.25">
      <c r="A60" s="2" t="s">
        <v>740</v>
      </c>
      <c r="B60" s="2" t="s">
        <v>190</v>
      </c>
      <c r="C60" s="4" t="s">
        <v>865</v>
      </c>
      <c r="D60" s="4" t="s">
        <v>865</v>
      </c>
      <c r="E60">
        <f t="shared" si="0"/>
        <v>2</v>
      </c>
      <c r="F60">
        <f t="shared" si="3"/>
        <v>0</v>
      </c>
      <c r="G60" t="str">
        <f t="shared" si="2"/>
        <v>Normal</v>
      </c>
    </row>
    <row r="61" spans="1:7" x14ac:dyDescent="0.25">
      <c r="A61" s="2" t="s">
        <v>815</v>
      </c>
      <c r="B61" s="2" t="s">
        <v>193</v>
      </c>
      <c r="C61" s="4" t="s">
        <v>865</v>
      </c>
      <c r="D61" s="4" t="s">
        <v>865</v>
      </c>
      <c r="E61">
        <f t="shared" si="0"/>
        <v>2</v>
      </c>
      <c r="F61">
        <f t="shared" si="3"/>
        <v>0</v>
      </c>
      <c r="G61" t="str">
        <f t="shared" si="2"/>
        <v>Normal</v>
      </c>
    </row>
    <row r="62" spans="1:7" x14ac:dyDescent="0.25">
      <c r="A62" s="2" t="s">
        <v>729</v>
      </c>
      <c r="B62" s="2" t="s">
        <v>196</v>
      </c>
      <c r="C62" s="4" t="s">
        <v>865</v>
      </c>
      <c r="D62" s="4" t="s">
        <v>865</v>
      </c>
      <c r="E62">
        <f t="shared" si="0"/>
        <v>2</v>
      </c>
      <c r="F62">
        <f t="shared" si="3"/>
        <v>0</v>
      </c>
      <c r="G62" t="str">
        <f t="shared" si="2"/>
        <v>Normal</v>
      </c>
    </row>
    <row r="63" spans="1:7" x14ac:dyDescent="0.25">
      <c r="A63" s="2" t="s">
        <v>648</v>
      </c>
      <c r="B63" s="2" t="s">
        <v>199</v>
      </c>
      <c r="C63" s="4" t="s">
        <v>865</v>
      </c>
      <c r="D63" s="4" t="s">
        <v>864</v>
      </c>
      <c r="E63">
        <f t="shared" si="0"/>
        <v>1</v>
      </c>
      <c r="F63">
        <f t="shared" si="3"/>
        <v>1</v>
      </c>
      <c r="G63" t="str">
        <f t="shared" si="2"/>
        <v>At Risk</v>
      </c>
    </row>
    <row r="64" spans="1:7" x14ac:dyDescent="0.25">
      <c r="A64" s="2" t="s">
        <v>689</v>
      </c>
      <c r="B64" s="2" t="s">
        <v>202</v>
      </c>
      <c r="C64" s="4" t="s">
        <v>865</v>
      </c>
      <c r="D64" s="4" t="s">
        <v>865</v>
      </c>
      <c r="E64">
        <f t="shared" si="0"/>
        <v>2</v>
      </c>
      <c r="F64">
        <f t="shared" si="3"/>
        <v>0</v>
      </c>
      <c r="G64" t="str">
        <f t="shared" si="2"/>
        <v>Normal</v>
      </c>
    </row>
    <row r="65" spans="1:7" x14ac:dyDescent="0.25">
      <c r="A65" s="2" t="s">
        <v>811</v>
      </c>
      <c r="B65" s="2" t="s">
        <v>205</v>
      </c>
      <c r="C65" s="4" t="s">
        <v>865</v>
      </c>
      <c r="D65" s="4" t="s">
        <v>865</v>
      </c>
      <c r="E65">
        <f t="shared" si="0"/>
        <v>2</v>
      </c>
      <c r="F65">
        <f t="shared" si="3"/>
        <v>0</v>
      </c>
      <c r="G65" t="str">
        <f t="shared" si="2"/>
        <v>Normal</v>
      </c>
    </row>
    <row r="66" spans="1:7" x14ac:dyDescent="0.25">
      <c r="A66" s="2" t="s">
        <v>810</v>
      </c>
      <c r="B66" s="2" t="s">
        <v>208</v>
      </c>
      <c r="C66" s="4" t="s">
        <v>865</v>
      </c>
      <c r="D66" s="4" t="s">
        <v>865</v>
      </c>
      <c r="E66">
        <f t="shared" ref="E66:E129" si="4">+COUNTIF(C66:D66,"Pass")</f>
        <v>2</v>
      </c>
      <c r="F66">
        <f t="shared" ref="F66:F97" si="5">+COUNTIF(B66:E66,"No Submission")</f>
        <v>0</v>
      </c>
      <c r="G66" t="str">
        <f t="shared" si="2"/>
        <v>Normal</v>
      </c>
    </row>
    <row r="67" spans="1:7" x14ac:dyDescent="0.25">
      <c r="A67" s="2" t="s">
        <v>809</v>
      </c>
      <c r="B67" s="2" t="s">
        <v>211</v>
      </c>
      <c r="C67" s="4" t="s">
        <v>865</v>
      </c>
      <c r="D67" s="4" t="s">
        <v>865</v>
      </c>
      <c r="E67">
        <f t="shared" si="4"/>
        <v>2</v>
      </c>
      <c r="F67">
        <f t="shared" si="5"/>
        <v>0</v>
      </c>
      <c r="G67" t="str">
        <f t="shared" ref="G67:G130" si="6">IF(F67&gt;=1,"At Risk","Normal")</f>
        <v>Normal</v>
      </c>
    </row>
    <row r="68" spans="1:7" x14ac:dyDescent="0.25">
      <c r="A68" s="2" t="s">
        <v>700</v>
      </c>
      <c r="B68" s="2" t="s">
        <v>214</v>
      </c>
      <c r="C68" s="4" t="s">
        <v>865</v>
      </c>
      <c r="D68" s="4" t="s">
        <v>865</v>
      </c>
      <c r="E68">
        <f t="shared" si="4"/>
        <v>2</v>
      </c>
      <c r="F68">
        <f t="shared" si="5"/>
        <v>0</v>
      </c>
      <c r="G68" t="str">
        <f t="shared" si="6"/>
        <v>Normal</v>
      </c>
    </row>
    <row r="69" spans="1:7" x14ac:dyDescent="0.25">
      <c r="A69" s="2" t="s">
        <v>806</v>
      </c>
      <c r="B69" s="2" t="s">
        <v>217</v>
      </c>
      <c r="C69" s="4" t="s">
        <v>865</v>
      </c>
      <c r="D69" s="4" t="s">
        <v>865</v>
      </c>
      <c r="E69">
        <f t="shared" si="4"/>
        <v>2</v>
      </c>
      <c r="F69">
        <f t="shared" si="5"/>
        <v>0</v>
      </c>
      <c r="G69" t="str">
        <f t="shared" si="6"/>
        <v>Normal</v>
      </c>
    </row>
    <row r="70" spans="1:7" x14ac:dyDescent="0.25">
      <c r="A70" s="2" t="s">
        <v>805</v>
      </c>
      <c r="B70" s="2" t="s">
        <v>220</v>
      </c>
      <c r="C70" s="4" t="s">
        <v>865</v>
      </c>
      <c r="D70" s="4" t="s">
        <v>865</v>
      </c>
      <c r="E70">
        <f t="shared" si="4"/>
        <v>2</v>
      </c>
      <c r="F70">
        <f t="shared" si="5"/>
        <v>0</v>
      </c>
      <c r="G70" t="str">
        <f t="shared" si="6"/>
        <v>Normal</v>
      </c>
    </row>
    <row r="71" spans="1:7" x14ac:dyDescent="0.25">
      <c r="A71" s="2" t="s">
        <v>804</v>
      </c>
      <c r="B71" s="2" t="s">
        <v>223</v>
      </c>
      <c r="C71" s="4" t="s">
        <v>865</v>
      </c>
      <c r="D71" s="4" t="s">
        <v>865</v>
      </c>
      <c r="E71">
        <f t="shared" si="4"/>
        <v>2</v>
      </c>
      <c r="F71">
        <f t="shared" si="5"/>
        <v>0</v>
      </c>
      <c r="G71" t="str">
        <f t="shared" si="6"/>
        <v>Normal</v>
      </c>
    </row>
    <row r="72" spans="1:7" x14ac:dyDescent="0.25">
      <c r="A72" s="2" t="s">
        <v>803</v>
      </c>
      <c r="B72" s="2" t="s">
        <v>226</v>
      </c>
      <c r="C72" s="4" t="s">
        <v>865</v>
      </c>
      <c r="D72" s="4" t="s">
        <v>865</v>
      </c>
      <c r="E72">
        <f t="shared" si="4"/>
        <v>2</v>
      </c>
      <c r="F72">
        <f t="shared" si="5"/>
        <v>0</v>
      </c>
      <c r="G72" t="str">
        <f t="shared" si="6"/>
        <v>Normal</v>
      </c>
    </row>
    <row r="73" spans="1:7" x14ac:dyDescent="0.25">
      <c r="A73" s="2" t="s">
        <v>799</v>
      </c>
      <c r="B73" s="2" t="s">
        <v>229</v>
      </c>
      <c r="C73" s="4" t="s">
        <v>865</v>
      </c>
      <c r="D73" s="4" t="s">
        <v>865</v>
      </c>
      <c r="E73">
        <f t="shared" si="4"/>
        <v>2</v>
      </c>
      <c r="F73">
        <f t="shared" si="5"/>
        <v>0</v>
      </c>
      <c r="G73" t="str">
        <f t="shared" si="6"/>
        <v>Normal</v>
      </c>
    </row>
    <row r="74" spans="1:7" x14ac:dyDescent="0.25">
      <c r="A74" s="2" t="s">
        <v>798</v>
      </c>
      <c r="B74" s="2" t="s">
        <v>232</v>
      </c>
      <c r="C74" s="4" t="s">
        <v>865</v>
      </c>
      <c r="D74" s="4" t="s">
        <v>865</v>
      </c>
      <c r="E74">
        <f t="shared" si="4"/>
        <v>2</v>
      </c>
      <c r="F74">
        <f t="shared" si="5"/>
        <v>0</v>
      </c>
      <c r="G74" t="str">
        <f t="shared" si="6"/>
        <v>Normal</v>
      </c>
    </row>
    <row r="75" spans="1:7" x14ac:dyDescent="0.25">
      <c r="A75" s="2" t="s">
        <v>681</v>
      </c>
      <c r="B75" s="2" t="s">
        <v>235</v>
      </c>
      <c r="C75" s="4" t="s">
        <v>865</v>
      </c>
      <c r="D75" s="4" t="s">
        <v>864</v>
      </c>
      <c r="E75">
        <f t="shared" si="4"/>
        <v>1</v>
      </c>
      <c r="F75">
        <f t="shared" si="5"/>
        <v>1</v>
      </c>
      <c r="G75" t="str">
        <f t="shared" si="6"/>
        <v>At Risk</v>
      </c>
    </row>
    <row r="76" spans="1:7" x14ac:dyDescent="0.25">
      <c r="A76" s="2" t="s">
        <v>796</v>
      </c>
      <c r="B76" s="2" t="s">
        <v>238</v>
      </c>
      <c r="C76" s="4" t="s">
        <v>865</v>
      </c>
      <c r="D76" s="4" t="s">
        <v>865</v>
      </c>
      <c r="E76">
        <f t="shared" si="4"/>
        <v>2</v>
      </c>
      <c r="F76">
        <f t="shared" si="5"/>
        <v>0</v>
      </c>
      <c r="G76" t="str">
        <f t="shared" si="6"/>
        <v>Normal</v>
      </c>
    </row>
    <row r="77" spans="1:7" x14ac:dyDescent="0.25">
      <c r="A77" s="2" t="s">
        <v>861</v>
      </c>
      <c r="B77" s="2" t="s">
        <v>240</v>
      </c>
      <c r="C77" s="4" t="s">
        <v>865</v>
      </c>
      <c r="D77" s="4" t="s">
        <v>865</v>
      </c>
      <c r="E77">
        <f t="shared" si="4"/>
        <v>2</v>
      </c>
      <c r="F77">
        <f t="shared" si="5"/>
        <v>0</v>
      </c>
      <c r="G77" t="str">
        <f t="shared" si="6"/>
        <v>Normal</v>
      </c>
    </row>
    <row r="78" spans="1:7" x14ac:dyDescent="0.25">
      <c r="A78" s="2" t="s">
        <v>730</v>
      </c>
      <c r="B78" s="2" t="s">
        <v>243</v>
      </c>
      <c r="C78" s="4" t="s">
        <v>865</v>
      </c>
      <c r="D78" s="4" t="s">
        <v>865</v>
      </c>
      <c r="E78">
        <f t="shared" si="4"/>
        <v>2</v>
      </c>
      <c r="F78">
        <f t="shared" si="5"/>
        <v>0</v>
      </c>
      <c r="G78" t="str">
        <f t="shared" si="6"/>
        <v>Normal</v>
      </c>
    </row>
    <row r="79" spans="1:7" x14ac:dyDescent="0.25">
      <c r="A79" s="2" t="s">
        <v>795</v>
      </c>
      <c r="B79" s="2" t="s">
        <v>245</v>
      </c>
      <c r="C79" s="4" t="s">
        <v>865</v>
      </c>
      <c r="D79" s="4" t="s">
        <v>865</v>
      </c>
      <c r="E79">
        <f t="shared" si="4"/>
        <v>2</v>
      </c>
      <c r="F79">
        <f t="shared" si="5"/>
        <v>0</v>
      </c>
      <c r="G79" t="str">
        <f t="shared" si="6"/>
        <v>Normal</v>
      </c>
    </row>
    <row r="80" spans="1:7" x14ac:dyDescent="0.25">
      <c r="A80" s="2" t="s">
        <v>792</v>
      </c>
      <c r="B80" s="2" t="s">
        <v>248</v>
      </c>
      <c r="C80" s="4" t="s">
        <v>865</v>
      </c>
      <c r="D80" s="4" t="s">
        <v>865</v>
      </c>
      <c r="E80">
        <f t="shared" si="4"/>
        <v>2</v>
      </c>
      <c r="F80">
        <f t="shared" si="5"/>
        <v>0</v>
      </c>
      <c r="G80" t="str">
        <f t="shared" si="6"/>
        <v>Normal</v>
      </c>
    </row>
    <row r="81" spans="1:7" x14ac:dyDescent="0.25">
      <c r="A81" s="2" t="s">
        <v>794</v>
      </c>
      <c r="B81" s="2" t="s">
        <v>251</v>
      </c>
      <c r="C81" s="4" t="s">
        <v>865</v>
      </c>
      <c r="D81" s="4" t="s">
        <v>864</v>
      </c>
      <c r="E81">
        <f t="shared" si="4"/>
        <v>1</v>
      </c>
      <c r="F81">
        <f t="shared" si="5"/>
        <v>1</v>
      </c>
      <c r="G81" t="str">
        <f t="shared" si="6"/>
        <v>At Risk</v>
      </c>
    </row>
    <row r="82" spans="1:7" x14ac:dyDescent="0.25">
      <c r="A82" s="2" t="s">
        <v>771</v>
      </c>
      <c r="B82" s="2" t="s">
        <v>254</v>
      </c>
      <c r="C82" s="4" t="s">
        <v>865</v>
      </c>
      <c r="D82" s="4" t="s">
        <v>865</v>
      </c>
      <c r="E82">
        <f t="shared" si="4"/>
        <v>2</v>
      </c>
      <c r="F82">
        <f t="shared" si="5"/>
        <v>0</v>
      </c>
      <c r="G82" t="str">
        <f t="shared" si="6"/>
        <v>Normal</v>
      </c>
    </row>
    <row r="83" spans="1:7" x14ac:dyDescent="0.25">
      <c r="A83" s="2" t="s">
        <v>791</v>
      </c>
      <c r="B83" s="2" t="s">
        <v>257</v>
      </c>
      <c r="C83" s="4" t="s">
        <v>865</v>
      </c>
      <c r="D83" s="4" t="s">
        <v>865</v>
      </c>
      <c r="E83">
        <f t="shared" si="4"/>
        <v>2</v>
      </c>
      <c r="F83">
        <f t="shared" si="5"/>
        <v>0</v>
      </c>
      <c r="G83" t="str">
        <f t="shared" si="6"/>
        <v>Normal</v>
      </c>
    </row>
    <row r="84" spans="1:7" x14ac:dyDescent="0.25">
      <c r="A84" s="2" t="s">
        <v>789</v>
      </c>
      <c r="B84" s="2" t="s">
        <v>260</v>
      </c>
      <c r="C84" s="4" t="s">
        <v>865</v>
      </c>
      <c r="D84" s="4" t="s">
        <v>865</v>
      </c>
      <c r="E84">
        <f t="shared" si="4"/>
        <v>2</v>
      </c>
      <c r="F84">
        <f t="shared" si="5"/>
        <v>0</v>
      </c>
      <c r="G84" t="str">
        <f t="shared" si="6"/>
        <v>Normal</v>
      </c>
    </row>
    <row r="85" spans="1:7" x14ac:dyDescent="0.25">
      <c r="A85" s="2" t="s">
        <v>790</v>
      </c>
      <c r="B85" s="2" t="s">
        <v>262</v>
      </c>
      <c r="C85" s="4" t="s">
        <v>865</v>
      </c>
      <c r="D85" s="4" t="s">
        <v>865</v>
      </c>
      <c r="E85">
        <f t="shared" si="4"/>
        <v>2</v>
      </c>
      <c r="F85">
        <f t="shared" si="5"/>
        <v>0</v>
      </c>
      <c r="G85" t="str">
        <f t="shared" si="6"/>
        <v>Normal</v>
      </c>
    </row>
    <row r="86" spans="1:7" x14ac:dyDescent="0.25">
      <c r="A86" s="2" t="s">
        <v>788</v>
      </c>
      <c r="B86" s="2" t="s">
        <v>264</v>
      </c>
      <c r="C86" s="4" t="s">
        <v>865</v>
      </c>
      <c r="D86" s="4" t="s">
        <v>865</v>
      </c>
      <c r="E86">
        <f t="shared" si="4"/>
        <v>2</v>
      </c>
      <c r="F86">
        <f t="shared" si="5"/>
        <v>0</v>
      </c>
      <c r="G86" t="str">
        <f t="shared" si="6"/>
        <v>Normal</v>
      </c>
    </row>
    <row r="87" spans="1:7" x14ac:dyDescent="0.25">
      <c r="A87" s="2" t="s">
        <v>785</v>
      </c>
      <c r="B87" s="2" t="s">
        <v>267</v>
      </c>
      <c r="C87" s="4" t="s">
        <v>865</v>
      </c>
      <c r="D87" s="4" t="s">
        <v>865</v>
      </c>
      <c r="E87">
        <f t="shared" si="4"/>
        <v>2</v>
      </c>
      <c r="F87">
        <f t="shared" si="5"/>
        <v>0</v>
      </c>
      <c r="G87" t="str">
        <f t="shared" si="6"/>
        <v>Normal</v>
      </c>
    </row>
    <row r="88" spans="1:7" x14ac:dyDescent="0.25">
      <c r="A88" s="2" t="s">
        <v>784</v>
      </c>
      <c r="B88" s="2" t="s">
        <v>270</v>
      </c>
      <c r="C88" s="4" t="s">
        <v>865</v>
      </c>
      <c r="D88" s="4" t="s">
        <v>865</v>
      </c>
      <c r="E88">
        <f t="shared" si="4"/>
        <v>2</v>
      </c>
      <c r="F88">
        <f t="shared" si="5"/>
        <v>0</v>
      </c>
      <c r="G88" t="str">
        <f t="shared" si="6"/>
        <v>Normal</v>
      </c>
    </row>
    <row r="89" spans="1:7" x14ac:dyDescent="0.25">
      <c r="A89" s="2" t="s">
        <v>717</v>
      </c>
      <c r="B89" s="2" t="s">
        <v>273</v>
      </c>
      <c r="C89" s="4" t="s">
        <v>865</v>
      </c>
      <c r="D89" s="4" t="s">
        <v>865</v>
      </c>
      <c r="E89">
        <f t="shared" si="4"/>
        <v>2</v>
      </c>
      <c r="F89">
        <f t="shared" si="5"/>
        <v>0</v>
      </c>
      <c r="G89" t="str">
        <f t="shared" si="6"/>
        <v>Normal</v>
      </c>
    </row>
    <row r="90" spans="1:7" x14ac:dyDescent="0.25">
      <c r="A90" s="2" t="s">
        <v>670</v>
      </c>
      <c r="B90" s="2" t="s">
        <v>276</v>
      </c>
      <c r="C90" s="4" t="s">
        <v>865</v>
      </c>
      <c r="D90" s="4" t="s">
        <v>865</v>
      </c>
      <c r="E90">
        <f t="shared" si="4"/>
        <v>2</v>
      </c>
      <c r="F90">
        <f t="shared" si="5"/>
        <v>0</v>
      </c>
      <c r="G90" t="str">
        <f t="shared" si="6"/>
        <v>Normal</v>
      </c>
    </row>
    <row r="91" spans="1:7" x14ac:dyDescent="0.25">
      <c r="A91" s="2" t="s">
        <v>847</v>
      </c>
      <c r="B91" s="2" t="s">
        <v>279</v>
      </c>
      <c r="C91" s="4" t="s">
        <v>865</v>
      </c>
      <c r="D91" s="4" t="s">
        <v>865</v>
      </c>
      <c r="E91">
        <f t="shared" si="4"/>
        <v>2</v>
      </c>
      <c r="F91">
        <f t="shared" si="5"/>
        <v>0</v>
      </c>
      <c r="G91" t="str">
        <f t="shared" si="6"/>
        <v>Normal</v>
      </c>
    </row>
    <row r="92" spans="1:7" x14ac:dyDescent="0.25">
      <c r="A92" s="2" t="s">
        <v>826</v>
      </c>
      <c r="B92" s="2" t="s">
        <v>282</v>
      </c>
      <c r="C92" s="4" t="s">
        <v>865</v>
      </c>
      <c r="D92" s="4" t="s">
        <v>865</v>
      </c>
      <c r="E92">
        <f t="shared" si="4"/>
        <v>2</v>
      </c>
      <c r="F92">
        <f t="shared" si="5"/>
        <v>0</v>
      </c>
      <c r="G92" t="str">
        <f t="shared" si="6"/>
        <v>Normal</v>
      </c>
    </row>
    <row r="93" spans="1:7" x14ac:dyDescent="0.25">
      <c r="A93" s="2" t="s">
        <v>782</v>
      </c>
      <c r="B93" s="2" t="s">
        <v>285</v>
      </c>
      <c r="C93" s="4" t="s">
        <v>865</v>
      </c>
      <c r="D93" s="4" t="s">
        <v>865</v>
      </c>
      <c r="E93">
        <f t="shared" si="4"/>
        <v>2</v>
      </c>
      <c r="F93">
        <f t="shared" si="5"/>
        <v>0</v>
      </c>
      <c r="G93" t="str">
        <f t="shared" si="6"/>
        <v>Normal</v>
      </c>
    </row>
    <row r="94" spans="1:7" x14ac:dyDescent="0.25">
      <c r="A94" s="2" t="s">
        <v>813</v>
      </c>
      <c r="B94" s="2" t="s">
        <v>288</v>
      </c>
      <c r="C94" s="4" t="s">
        <v>865</v>
      </c>
      <c r="D94" s="4" t="s">
        <v>865</v>
      </c>
      <c r="E94">
        <f t="shared" si="4"/>
        <v>2</v>
      </c>
      <c r="F94">
        <f t="shared" si="5"/>
        <v>0</v>
      </c>
      <c r="G94" t="str">
        <f t="shared" si="6"/>
        <v>Normal</v>
      </c>
    </row>
    <row r="95" spans="1:7" x14ac:dyDescent="0.25">
      <c r="A95" s="2" t="s">
        <v>781</v>
      </c>
      <c r="B95" s="2" t="s">
        <v>291</v>
      </c>
      <c r="C95" s="4" t="s">
        <v>865</v>
      </c>
      <c r="D95" s="4" t="s">
        <v>865</v>
      </c>
      <c r="E95">
        <f t="shared" si="4"/>
        <v>2</v>
      </c>
      <c r="F95">
        <f t="shared" si="5"/>
        <v>0</v>
      </c>
      <c r="G95" t="str">
        <f t="shared" si="6"/>
        <v>Normal</v>
      </c>
    </row>
    <row r="96" spans="1:7" x14ac:dyDescent="0.25">
      <c r="A96" s="2" t="s">
        <v>801</v>
      </c>
      <c r="B96" s="2" t="s">
        <v>294</v>
      </c>
      <c r="C96" s="4" t="s">
        <v>865</v>
      </c>
      <c r="D96" s="4" t="s">
        <v>865</v>
      </c>
      <c r="E96">
        <f t="shared" si="4"/>
        <v>2</v>
      </c>
      <c r="F96">
        <f t="shared" si="5"/>
        <v>0</v>
      </c>
      <c r="G96" t="str">
        <f t="shared" si="6"/>
        <v>Normal</v>
      </c>
    </row>
    <row r="97" spans="1:7" x14ac:dyDescent="0.25">
      <c r="A97" s="2" t="s">
        <v>780</v>
      </c>
      <c r="B97" s="2" t="s">
        <v>297</v>
      </c>
      <c r="C97" s="4" t="s">
        <v>865</v>
      </c>
      <c r="D97" s="4" t="s">
        <v>865</v>
      </c>
      <c r="E97">
        <f t="shared" si="4"/>
        <v>2</v>
      </c>
      <c r="F97">
        <f t="shared" si="5"/>
        <v>0</v>
      </c>
      <c r="G97" t="str">
        <f t="shared" si="6"/>
        <v>Normal</v>
      </c>
    </row>
    <row r="98" spans="1:7" x14ac:dyDescent="0.25">
      <c r="A98" s="2" t="s">
        <v>793</v>
      </c>
      <c r="B98" s="2" t="s">
        <v>300</v>
      </c>
      <c r="C98" s="4" t="s">
        <v>865</v>
      </c>
      <c r="D98" s="4" t="s">
        <v>865</v>
      </c>
      <c r="E98">
        <f t="shared" si="4"/>
        <v>2</v>
      </c>
      <c r="F98">
        <f t="shared" ref="F98:F129" si="7">+COUNTIF(B98:E98,"No Submission")</f>
        <v>0</v>
      </c>
      <c r="G98" t="str">
        <f t="shared" si="6"/>
        <v>Normal</v>
      </c>
    </row>
    <row r="99" spans="1:7" x14ac:dyDescent="0.25">
      <c r="A99" s="2" t="s">
        <v>779</v>
      </c>
      <c r="B99" s="2" t="s">
        <v>303</v>
      </c>
      <c r="C99" s="4" t="s">
        <v>865</v>
      </c>
      <c r="D99" s="4" t="s">
        <v>865</v>
      </c>
      <c r="E99">
        <f t="shared" si="4"/>
        <v>2</v>
      </c>
      <c r="F99">
        <f t="shared" si="7"/>
        <v>0</v>
      </c>
      <c r="G99" t="str">
        <f t="shared" si="6"/>
        <v>Normal</v>
      </c>
    </row>
    <row r="100" spans="1:7" x14ac:dyDescent="0.25">
      <c r="A100" s="2" t="s">
        <v>712</v>
      </c>
      <c r="B100" s="2" t="s">
        <v>306</v>
      </c>
      <c r="C100" s="4" t="s">
        <v>865</v>
      </c>
      <c r="D100" s="4" t="s">
        <v>865</v>
      </c>
      <c r="E100">
        <f t="shared" si="4"/>
        <v>2</v>
      </c>
      <c r="F100">
        <f t="shared" si="7"/>
        <v>0</v>
      </c>
      <c r="G100" t="str">
        <f t="shared" si="6"/>
        <v>Normal</v>
      </c>
    </row>
    <row r="101" spans="1:7" x14ac:dyDescent="0.25">
      <c r="A101" s="2" t="s">
        <v>659</v>
      </c>
      <c r="B101" s="2" t="s">
        <v>308</v>
      </c>
      <c r="C101" s="4" t="s">
        <v>864</v>
      </c>
      <c r="D101" s="4" t="s">
        <v>865</v>
      </c>
      <c r="E101">
        <f t="shared" si="4"/>
        <v>1</v>
      </c>
      <c r="F101">
        <f t="shared" si="7"/>
        <v>1</v>
      </c>
      <c r="G101" t="str">
        <f t="shared" si="6"/>
        <v>At Risk</v>
      </c>
    </row>
    <row r="102" spans="1:7" x14ac:dyDescent="0.25">
      <c r="A102" s="2" t="s">
        <v>778</v>
      </c>
      <c r="B102" s="2" t="s">
        <v>311</v>
      </c>
      <c r="C102" s="4" t="s">
        <v>865</v>
      </c>
      <c r="D102" s="4" t="s">
        <v>865</v>
      </c>
      <c r="E102">
        <f t="shared" si="4"/>
        <v>2</v>
      </c>
      <c r="F102">
        <f t="shared" si="7"/>
        <v>0</v>
      </c>
      <c r="G102" t="str">
        <f t="shared" si="6"/>
        <v>Normal</v>
      </c>
    </row>
    <row r="103" spans="1:7" x14ac:dyDescent="0.25">
      <c r="A103" s="2" t="s">
        <v>787</v>
      </c>
      <c r="B103" s="2" t="s">
        <v>314</v>
      </c>
      <c r="C103" s="4" t="s">
        <v>865</v>
      </c>
      <c r="D103" s="4" t="s">
        <v>865</v>
      </c>
      <c r="E103">
        <f t="shared" si="4"/>
        <v>2</v>
      </c>
      <c r="F103">
        <f t="shared" si="7"/>
        <v>0</v>
      </c>
      <c r="G103" t="str">
        <f t="shared" si="6"/>
        <v>Normal</v>
      </c>
    </row>
    <row r="104" spans="1:7" x14ac:dyDescent="0.25">
      <c r="A104" s="2" t="s">
        <v>840</v>
      </c>
      <c r="B104" s="2" t="s">
        <v>316</v>
      </c>
      <c r="C104" s="4" t="s">
        <v>865</v>
      </c>
      <c r="D104" s="4" t="s">
        <v>865</v>
      </c>
      <c r="E104">
        <f t="shared" si="4"/>
        <v>2</v>
      </c>
      <c r="F104">
        <f t="shared" si="7"/>
        <v>0</v>
      </c>
      <c r="G104" t="str">
        <f t="shared" si="6"/>
        <v>Normal</v>
      </c>
    </row>
    <row r="105" spans="1:7" x14ac:dyDescent="0.25">
      <c r="A105" s="2" t="s">
        <v>776</v>
      </c>
      <c r="B105" s="2" t="s">
        <v>319</v>
      </c>
      <c r="C105" s="4" t="s">
        <v>865</v>
      </c>
      <c r="D105" s="4" t="s">
        <v>865</v>
      </c>
      <c r="E105">
        <f t="shared" si="4"/>
        <v>2</v>
      </c>
      <c r="F105">
        <f t="shared" si="7"/>
        <v>0</v>
      </c>
      <c r="G105" t="str">
        <f t="shared" si="6"/>
        <v>Normal</v>
      </c>
    </row>
    <row r="106" spans="1:7" x14ac:dyDescent="0.25">
      <c r="A106" s="2" t="s">
        <v>774</v>
      </c>
      <c r="B106" s="2" t="s">
        <v>322</v>
      </c>
      <c r="C106" s="4" t="s">
        <v>865</v>
      </c>
      <c r="D106" s="4" t="s">
        <v>865</v>
      </c>
      <c r="E106">
        <f t="shared" si="4"/>
        <v>2</v>
      </c>
      <c r="F106">
        <f t="shared" si="7"/>
        <v>0</v>
      </c>
      <c r="G106" t="str">
        <f t="shared" si="6"/>
        <v>Normal</v>
      </c>
    </row>
    <row r="107" spans="1:7" x14ac:dyDescent="0.25">
      <c r="A107" s="2" t="s">
        <v>775</v>
      </c>
      <c r="B107" s="2" t="s">
        <v>324</v>
      </c>
      <c r="C107" s="4" t="s">
        <v>865</v>
      </c>
      <c r="D107" s="4" t="s">
        <v>864</v>
      </c>
      <c r="E107">
        <f t="shared" si="4"/>
        <v>1</v>
      </c>
      <c r="F107">
        <f t="shared" si="7"/>
        <v>1</v>
      </c>
      <c r="G107" t="str">
        <f t="shared" si="6"/>
        <v>At Risk</v>
      </c>
    </row>
    <row r="108" spans="1:7" x14ac:dyDescent="0.25">
      <c r="A108" s="2" t="s">
        <v>786</v>
      </c>
      <c r="B108" s="2" t="s">
        <v>327</v>
      </c>
      <c r="C108" s="4" t="s">
        <v>865</v>
      </c>
      <c r="D108" s="4" t="s">
        <v>865</v>
      </c>
      <c r="E108">
        <f t="shared" si="4"/>
        <v>2</v>
      </c>
      <c r="F108">
        <f t="shared" si="7"/>
        <v>0</v>
      </c>
      <c r="G108" t="str">
        <f t="shared" si="6"/>
        <v>Normal</v>
      </c>
    </row>
    <row r="109" spans="1:7" x14ac:dyDescent="0.25">
      <c r="A109" s="2" t="s">
        <v>842</v>
      </c>
      <c r="B109" s="2" t="s">
        <v>329</v>
      </c>
      <c r="C109" s="4" t="s">
        <v>865</v>
      </c>
      <c r="D109" s="4" t="s">
        <v>865</v>
      </c>
      <c r="E109">
        <f t="shared" si="4"/>
        <v>2</v>
      </c>
      <c r="F109">
        <f t="shared" si="7"/>
        <v>0</v>
      </c>
      <c r="G109" t="str">
        <f t="shared" si="6"/>
        <v>Normal</v>
      </c>
    </row>
    <row r="110" spans="1:7" x14ac:dyDescent="0.25">
      <c r="A110" s="2" t="s">
        <v>773</v>
      </c>
      <c r="B110" s="2" t="s">
        <v>332</v>
      </c>
      <c r="C110" s="4" t="s">
        <v>865</v>
      </c>
      <c r="D110" s="4" t="s">
        <v>865</v>
      </c>
      <c r="E110">
        <f t="shared" si="4"/>
        <v>2</v>
      </c>
      <c r="F110">
        <f t="shared" si="7"/>
        <v>0</v>
      </c>
      <c r="G110" t="str">
        <f t="shared" si="6"/>
        <v>Normal</v>
      </c>
    </row>
    <row r="111" spans="1:7" x14ac:dyDescent="0.25">
      <c r="A111" s="2" t="s">
        <v>651</v>
      </c>
      <c r="B111" s="2" t="s">
        <v>334</v>
      </c>
      <c r="C111" s="4" t="s">
        <v>865</v>
      </c>
      <c r="D111" s="4" t="s">
        <v>864</v>
      </c>
      <c r="E111">
        <f t="shared" si="4"/>
        <v>1</v>
      </c>
      <c r="F111">
        <f t="shared" si="7"/>
        <v>1</v>
      </c>
      <c r="G111" t="str">
        <f t="shared" si="6"/>
        <v>At Risk</v>
      </c>
    </row>
    <row r="112" spans="1:7" x14ac:dyDescent="0.25">
      <c r="A112" s="2" t="s">
        <v>761</v>
      </c>
      <c r="B112" s="2" t="s">
        <v>337</v>
      </c>
      <c r="C112" s="4" t="s">
        <v>865</v>
      </c>
      <c r="D112" s="4" t="s">
        <v>865</v>
      </c>
      <c r="E112">
        <f t="shared" si="4"/>
        <v>2</v>
      </c>
      <c r="F112">
        <f t="shared" si="7"/>
        <v>0</v>
      </c>
      <c r="G112" t="str">
        <f t="shared" si="6"/>
        <v>Normal</v>
      </c>
    </row>
    <row r="113" spans="1:7" x14ac:dyDescent="0.25">
      <c r="A113" s="2" t="s">
        <v>725</v>
      </c>
      <c r="B113" s="2" t="s">
        <v>340</v>
      </c>
      <c r="C113" s="4" t="s">
        <v>865</v>
      </c>
      <c r="D113" s="4" t="s">
        <v>865</v>
      </c>
      <c r="E113">
        <f t="shared" si="4"/>
        <v>2</v>
      </c>
      <c r="F113">
        <f t="shared" si="7"/>
        <v>0</v>
      </c>
      <c r="G113" t="str">
        <f t="shared" si="6"/>
        <v>Normal</v>
      </c>
    </row>
    <row r="114" spans="1:7" x14ac:dyDescent="0.25">
      <c r="A114" s="2" t="s">
        <v>694</v>
      </c>
      <c r="B114" s="2" t="s">
        <v>343</v>
      </c>
      <c r="C114" s="4" t="s">
        <v>865</v>
      </c>
      <c r="D114" s="4" t="s">
        <v>865</v>
      </c>
      <c r="E114">
        <f t="shared" si="4"/>
        <v>2</v>
      </c>
      <c r="F114">
        <f t="shared" si="7"/>
        <v>0</v>
      </c>
      <c r="G114" t="str">
        <f t="shared" si="6"/>
        <v>Normal</v>
      </c>
    </row>
    <row r="115" spans="1:7" x14ac:dyDescent="0.25">
      <c r="A115" s="2" t="s">
        <v>704</v>
      </c>
      <c r="B115" s="2" t="s">
        <v>346</v>
      </c>
      <c r="C115" s="4" t="s">
        <v>865</v>
      </c>
      <c r="D115" s="4" t="s">
        <v>865</v>
      </c>
      <c r="E115">
        <f t="shared" si="4"/>
        <v>2</v>
      </c>
      <c r="F115">
        <f t="shared" si="7"/>
        <v>0</v>
      </c>
      <c r="G115" t="str">
        <f t="shared" si="6"/>
        <v>Normal</v>
      </c>
    </row>
    <row r="116" spans="1:7" x14ac:dyDescent="0.25">
      <c r="A116" s="2" t="s">
        <v>770</v>
      </c>
      <c r="B116" s="2" t="s">
        <v>349</v>
      </c>
      <c r="C116" s="4" t="s">
        <v>865</v>
      </c>
      <c r="D116" s="4" t="s">
        <v>865</v>
      </c>
      <c r="E116">
        <f t="shared" si="4"/>
        <v>2</v>
      </c>
      <c r="F116">
        <f t="shared" si="7"/>
        <v>0</v>
      </c>
      <c r="G116" t="str">
        <f t="shared" si="6"/>
        <v>Normal</v>
      </c>
    </row>
    <row r="117" spans="1:7" x14ac:dyDescent="0.25">
      <c r="A117" s="2" t="s">
        <v>769</v>
      </c>
      <c r="B117" s="2" t="s">
        <v>351</v>
      </c>
      <c r="C117" s="4" t="s">
        <v>865</v>
      </c>
      <c r="D117" s="4" t="s">
        <v>865</v>
      </c>
      <c r="E117">
        <f t="shared" si="4"/>
        <v>2</v>
      </c>
      <c r="F117">
        <f t="shared" si="7"/>
        <v>0</v>
      </c>
      <c r="G117" t="str">
        <f t="shared" si="6"/>
        <v>Normal</v>
      </c>
    </row>
    <row r="118" spans="1:7" x14ac:dyDescent="0.25">
      <c r="A118" s="2" t="s">
        <v>645</v>
      </c>
      <c r="B118" s="2" t="s">
        <v>353</v>
      </c>
      <c r="C118" s="4" t="s">
        <v>865</v>
      </c>
      <c r="D118" s="4" t="s">
        <v>865</v>
      </c>
      <c r="E118">
        <f t="shared" si="4"/>
        <v>2</v>
      </c>
      <c r="F118">
        <f t="shared" si="7"/>
        <v>0</v>
      </c>
      <c r="G118" t="str">
        <f t="shared" si="6"/>
        <v>Normal</v>
      </c>
    </row>
    <row r="119" spans="1:7" x14ac:dyDescent="0.25">
      <c r="A119" s="2" t="s">
        <v>765</v>
      </c>
      <c r="B119" s="2" t="s">
        <v>356</v>
      </c>
      <c r="C119" s="4" t="s">
        <v>865</v>
      </c>
      <c r="D119" s="4" t="s">
        <v>865</v>
      </c>
      <c r="E119">
        <f t="shared" si="4"/>
        <v>2</v>
      </c>
      <c r="F119">
        <f t="shared" si="7"/>
        <v>0</v>
      </c>
      <c r="G119" t="str">
        <f t="shared" si="6"/>
        <v>Normal</v>
      </c>
    </row>
    <row r="120" spans="1:7" x14ac:dyDescent="0.25">
      <c r="A120" s="2" t="s">
        <v>764</v>
      </c>
      <c r="B120" s="2" t="s">
        <v>359</v>
      </c>
      <c r="C120" s="4" t="s">
        <v>865</v>
      </c>
      <c r="D120" s="4" t="s">
        <v>865</v>
      </c>
      <c r="E120">
        <f t="shared" si="4"/>
        <v>2</v>
      </c>
      <c r="F120">
        <f t="shared" si="7"/>
        <v>0</v>
      </c>
      <c r="G120" t="str">
        <f t="shared" si="6"/>
        <v>Normal</v>
      </c>
    </row>
    <row r="121" spans="1:7" x14ac:dyDescent="0.25">
      <c r="A121" s="2" t="s">
        <v>768</v>
      </c>
      <c r="B121" s="2" t="s">
        <v>362</v>
      </c>
      <c r="C121" s="4" t="s">
        <v>865</v>
      </c>
      <c r="D121" s="4" t="s">
        <v>865</v>
      </c>
      <c r="E121">
        <f t="shared" si="4"/>
        <v>2</v>
      </c>
      <c r="F121">
        <f t="shared" si="7"/>
        <v>0</v>
      </c>
      <c r="G121" t="str">
        <f t="shared" si="6"/>
        <v>Normal</v>
      </c>
    </row>
    <row r="122" spans="1:7" x14ac:dyDescent="0.25">
      <c r="A122" s="2" t="s">
        <v>676</v>
      </c>
      <c r="B122" s="2" t="s">
        <v>365</v>
      </c>
      <c r="C122" s="4" t="s">
        <v>865</v>
      </c>
      <c r="D122" s="4" t="s">
        <v>864</v>
      </c>
      <c r="E122">
        <f t="shared" si="4"/>
        <v>1</v>
      </c>
      <c r="F122">
        <f t="shared" si="7"/>
        <v>1</v>
      </c>
      <c r="G122" t="str">
        <f t="shared" si="6"/>
        <v>At Risk</v>
      </c>
    </row>
    <row r="123" spans="1:7" x14ac:dyDescent="0.25">
      <c r="A123" s="2" t="s">
        <v>807</v>
      </c>
      <c r="B123" s="2" t="s">
        <v>368</v>
      </c>
      <c r="C123" s="4" t="s">
        <v>865</v>
      </c>
      <c r="D123" s="4" t="s">
        <v>865</v>
      </c>
      <c r="E123">
        <f t="shared" si="4"/>
        <v>2</v>
      </c>
      <c r="F123">
        <f t="shared" si="7"/>
        <v>0</v>
      </c>
      <c r="G123" t="str">
        <f t="shared" si="6"/>
        <v>Normal</v>
      </c>
    </row>
    <row r="124" spans="1:7" x14ac:dyDescent="0.25">
      <c r="A124" s="2" t="s">
        <v>692</v>
      </c>
      <c r="B124" s="2" t="s">
        <v>370</v>
      </c>
      <c r="C124" s="4" t="s">
        <v>865</v>
      </c>
      <c r="D124" s="4" t="s">
        <v>865</v>
      </c>
      <c r="E124">
        <f t="shared" si="4"/>
        <v>2</v>
      </c>
      <c r="F124">
        <f t="shared" si="7"/>
        <v>0</v>
      </c>
      <c r="G124" t="str">
        <f t="shared" si="6"/>
        <v>Normal</v>
      </c>
    </row>
    <row r="125" spans="1:7" x14ac:dyDescent="0.25">
      <c r="A125" s="2" t="s">
        <v>687</v>
      </c>
      <c r="B125" s="2" t="s">
        <v>373</v>
      </c>
      <c r="C125" s="4" t="s">
        <v>865</v>
      </c>
      <c r="D125" s="4" t="s">
        <v>865</v>
      </c>
      <c r="E125">
        <f t="shared" si="4"/>
        <v>2</v>
      </c>
      <c r="F125">
        <f t="shared" si="7"/>
        <v>0</v>
      </c>
      <c r="G125" t="str">
        <f t="shared" si="6"/>
        <v>Normal</v>
      </c>
    </row>
    <row r="126" spans="1:7" x14ac:dyDescent="0.25">
      <c r="A126" s="2" t="s">
        <v>654</v>
      </c>
      <c r="B126" s="2" t="s">
        <v>376</v>
      </c>
      <c r="C126" s="4" t="s">
        <v>864</v>
      </c>
      <c r="D126" s="4" t="s">
        <v>865</v>
      </c>
      <c r="E126">
        <f t="shared" si="4"/>
        <v>1</v>
      </c>
      <c r="F126">
        <f t="shared" si="7"/>
        <v>1</v>
      </c>
      <c r="G126" t="str">
        <f t="shared" si="6"/>
        <v>At Risk</v>
      </c>
    </row>
    <row r="127" spans="1:7" x14ac:dyDescent="0.25">
      <c r="A127" s="2" t="s">
        <v>760</v>
      </c>
      <c r="B127" s="2" t="s">
        <v>379</v>
      </c>
      <c r="C127" s="4" t="s">
        <v>865</v>
      </c>
      <c r="D127" s="4" t="s">
        <v>865</v>
      </c>
      <c r="E127">
        <f t="shared" si="4"/>
        <v>2</v>
      </c>
      <c r="F127">
        <f t="shared" si="7"/>
        <v>0</v>
      </c>
      <c r="G127" t="str">
        <f t="shared" si="6"/>
        <v>Normal</v>
      </c>
    </row>
    <row r="128" spans="1:7" x14ac:dyDescent="0.25">
      <c r="A128" s="2" t="s">
        <v>762</v>
      </c>
      <c r="B128" s="2" t="s">
        <v>382</v>
      </c>
      <c r="C128" s="4" t="s">
        <v>865</v>
      </c>
      <c r="D128" s="4" t="s">
        <v>865</v>
      </c>
      <c r="E128">
        <f t="shared" si="4"/>
        <v>2</v>
      </c>
      <c r="F128">
        <f t="shared" si="7"/>
        <v>0</v>
      </c>
      <c r="G128" t="str">
        <f t="shared" si="6"/>
        <v>Normal</v>
      </c>
    </row>
    <row r="129" spans="1:7" x14ac:dyDescent="0.25">
      <c r="A129" s="2" t="s">
        <v>816</v>
      </c>
      <c r="B129" s="2" t="s">
        <v>385</v>
      </c>
      <c r="C129" s="4" t="s">
        <v>865</v>
      </c>
      <c r="D129" s="4" t="s">
        <v>864</v>
      </c>
      <c r="E129">
        <f t="shared" si="4"/>
        <v>1</v>
      </c>
      <c r="F129">
        <f t="shared" si="7"/>
        <v>1</v>
      </c>
      <c r="G129" t="str">
        <f t="shared" si="6"/>
        <v>At Risk</v>
      </c>
    </row>
    <row r="130" spans="1:7" x14ac:dyDescent="0.25">
      <c r="A130" s="2" t="s">
        <v>757</v>
      </c>
      <c r="B130" s="2" t="s">
        <v>387</v>
      </c>
      <c r="C130" s="4" t="s">
        <v>865</v>
      </c>
      <c r="D130" s="4" t="s">
        <v>865</v>
      </c>
      <c r="E130">
        <f t="shared" ref="E130:E193" si="8">+COUNTIF(C130:D130,"Pass")</f>
        <v>2</v>
      </c>
      <c r="F130">
        <f t="shared" ref="F130:F161" si="9">+COUNTIF(B130:E130,"No Submission")</f>
        <v>0</v>
      </c>
      <c r="G130" t="str">
        <f t="shared" si="6"/>
        <v>Normal</v>
      </c>
    </row>
    <row r="131" spans="1:7" x14ac:dyDescent="0.25">
      <c r="A131" s="2" t="s">
        <v>724</v>
      </c>
      <c r="B131" s="2" t="s">
        <v>390</v>
      </c>
      <c r="C131" s="4" t="s">
        <v>865</v>
      </c>
      <c r="D131" s="4" t="s">
        <v>865</v>
      </c>
      <c r="E131">
        <f t="shared" si="8"/>
        <v>2</v>
      </c>
      <c r="F131">
        <f t="shared" si="9"/>
        <v>0</v>
      </c>
      <c r="G131" t="str">
        <f t="shared" ref="G131:G194" si="10">IF(F131&gt;=1,"At Risk","Normal")</f>
        <v>Normal</v>
      </c>
    </row>
    <row r="132" spans="1:7" x14ac:dyDescent="0.25">
      <c r="A132" s="2" t="s">
        <v>756</v>
      </c>
      <c r="B132" s="2" t="s">
        <v>393</v>
      </c>
      <c r="C132" s="4" t="s">
        <v>865</v>
      </c>
      <c r="D132" s="4" t="s">
        <v>865</v>
      </c>
      <c r="E132">
        <f t="shared" si="8"/>
        <v>2</v>
      </c>
      <c r="F132">
        <f t="shared" si="9"/>
        <v>0</v>
      </c>
      <c r="G132" t="str">
        <f t="shared" si="10"/>
        <v>Normal</v>
      </c>
    </row>
    <row r="133" spans="1:7" x14ac:dyDescent="0.25">
      <c r="A133" s="2" t="s">
        <v>754</v>
      </c>
      <c r="B133" s="2" t="s">
        <v>396</v>
      </c>
      <c r="C133" s="4" t="s">
        <v>865</v>
      </c>
      <c r="D133" s="4" t="s">
        <v>865</v>
      </c>
      <c r="E133">
        <f t="shared" si="8"/>
        <v>2</v>
      </c>
      <c r="F133">
        <f t="shared" si="9"/>
        <v>0</v>
      </c>
      <c r="G133" t="str">
        <f t="shared" si="10"/>
        <v>Normal</v>
      </c>
    </row>
    <row r="134" spans="1:7" x14ac:dyDescent="0.25">
      <c r="A134" s="2" t="s">
        <v>745</v>
      </c>
      <c r="B134" s="2" t="s">
        <v>399</v>
      </c>
      <c r="C134" s="4" t="s">
        <v>865</v>
      </c>
      <c r="D134" s="4" t="s">
        <v>865</v>
      </c>
      <c r="E134">
        <f t="shared" si="8"/>
        <v>2</v>
      </c>
      <c r="F134">
        <f t="shared" si="9"/>
        <v>0</v>
      </c>
      <c r="G134" t="str">
        <f t="shared" si="10"/>
        <v>Normal</v>
      </c>
    </row>
    <row r="135" spans="1:7" x14ac:dyDescent="0.25">
      <c r="A135" s="2" t="s">
        <v>753</v>
      </c>
      <c r="B135" s="2" t="s">
        <v>402</v>
      </c>
      <c r="C135" s="4" t="s">
        <v>865</v>
      </c>
      <c r="D135" s="4" t="s">
        <v>865</v>
      </c>
      <c r="E135">
        <f t="shared" si="8"/>
        <v>2</v>
      </c>
      <c r="F135">
        <f t="shared" si="9"/>
        <v>0</v>
      </c>
      <c r="G135" t="str">
        <f t="shared" si="10"/>
        <v>Normal</v>
      </c>
    </row>
    <row r="136" spans="1:7" x14ac:dyDescent="0.25">
      <c r="A136" s="2" t="s">
        <v>755</v>
      </c>
      <c r="B136" s="2" t="s">
        <v>405</v>
      </c>
      <c r="C136" s="4" t="s">
        <v>865</v>
      </c>
      <c r="D136" s="4" t="s">
        <v>865</v>
      </c>
      <c r="E136">
        <f t="shared" si="8"/>
        <v>2</v>
      </c>
      <c r="F136">
        <f t="shared" si="9"/>
        <v>0</v>
      </c>
      <c r="G136" t="str">
        <f t="shared" si="10"/>
        <v>Normal</v>
      </c>
    </row>
    <row r="137" spans="1:7" x14ac:dyDescent="0.25">
      <c r="A137" s="2" t="s">
        <v>668</v>
      </c>
      <c r="B137" s="2" t="s">
        <v>408</v>
      </c>
      <c r="C137" s="4" t="s">
        <v>864</v>
      </c>
      <c r="D137" s="4" t="s">
        <v>865</v>
      </c>
      <c r="E137">
        <f t="shared" si="8"/>
        <v>1</v>
      </c>
      <c r="F137">
        <f t="shared" si="9"/>
        <v>1</v>
      </c>
      <c r="G137" t="str">
        <f t="shared" si="10"/>
        <v>At Risk</v>
      </c>
    </row>
    <row r="138" spans="1:7" x14ac:dyDescent="0.25">
      <c r="A138" s="2" t="s">
        <v>667</v>
      </c>
      <c r="B138" s="2" t="s">
        <v>411</v>
      </c>
      <c r="C138" s="4" t="s">
        <v>864</v>
      </c>
      <c r="D138" s="4" t="s">
        <v>865</v>
      </c>
      <c r="E138">
        <f t="shared" si="8"/>
        <v>1</v>
      </c>
      <c r="F138">
        <f t="shared" si="9"/>
        <v>1</v>
      </c>
      <c r="G138" t="str">
        <f t="shared" si="10"/>
        <v>At Risk</v>
      </c>
    </row>
    <row r="139" spans="1:7" x14ac:dyDescent="0.25">
      <c r="A139" s="2" t="s">
        <v>707</v>
      </c>
      <c r="B139" s="2" t="s">
        <v>414</v>
      </c>
      <c r="C139" s="4" t="s">
        <v>865</v>
      </c>
      <c r="D139" s="4" t="s">
        <v>864</v>
      </c>
      <c r="E139">
        <f t="shared" si="8"/>
        <v>1</v>
      </c>
      <c r="F139">
        <f t="shared" si="9"/>
        <v>1</v>
      </c>
      <c r="G139" t="str">
        <f t="shared" si="10"/>
        <v>At Risk</v>
      </c>
    </row>
    <row r="140" spans="1:7" x14ac:dyDescent="0.25">
      <c r="A140" s="2" t="s">
        <v>752</v>
      </c>
      <c r="B140" s="2" t="s">
        <v>416</v>
      </c>
      <c r="C140" s="4" t="s">
        <v>865</v>
      </c>
      <c r="D140" s="4" t="s">
        <v>865</v>
      </c>
      <c r="E140">
        <f t="shared" si="8"/>
        <v>2</v>
      </c>
      <c r="F140">
        <f t="shared" si="9"/>
        <v>0</v>
      </c>
      <c r="G140" t="str">
        <f t="shared" si="10"/>
        <v>Normal</v>
      </c>
    </row>
    <row r="141" spans="1:7" x14ac:dyDescent="0.25">
      <c r="A141" s="2" t="s">
        <v>749</v>
      </c>
      <c r="B141" s="2" t="s">
        <v>419</v>
      </c>
      <c r="C141" s="4" t="s">
        <v>865</v>
      </c>
      <c r="D141" s="4" t="s">
        <v>865</v>
      </c>
      <c r="E141">
        <f t="shared" si="8"/>
        <v>2</v>
      </c>
      <c r="F141">
        <f t="shared" si="9"/>
        <v>0</v>
      </c>
      <c r="G141" t="str">
        <f t="shared" si="10"/>
        <v>Normal</v>
      </c>
    </row>
    <row r="142" spans="1:7" x14ac:dyDescent="0.25">
      <c r="A142" s="2" t="s">
        <v>748</v>
      </c>
      <c r="B142" s="2" t="s">
        <v>422</v>
      </c>
      <c r="C142" s="4" t="s">
        <v>865</v>
      </c>
      <c r="D142" s="4" t="s">
        <v>865</v>
      </c>
      <c r="E142">
        <f t="shared" si="8"/>
        <v>2</v>
      </c>
      <c r="F142">
        <f t="shared" si="9"/>
        <v>0</v>
      </c>
      <c r="G142" t="str">
        <f t="shared" si="10"/>
        <v>Normal</v>
      </c>
    </row>
    <row r="143" spans="1:7" x14ac:dyDescent="0.25">
      <c r="A143" s="2" t="s">
        <v>747</v>
      </c>
      <c r="B143" s="2" t="s">
        <v>425</v>
      </c>
      <c r="C143" s="4" t="s">
        <v>865</v>
      </c>
      <c r="D143" s="4" t="s">
        <v>865</v>
      </c>
      <c r="E143">
        <f t="shared" si="8"/>
        <v>2</v>
      </c>
      <c r="F143">
        <f t="shared" si="9"/>
        <v>0</v>
      </c>
      <c r="G143" t="str">
        <f t="shared" si="10"/>
        <v>Normal</v>
      </c>
    </row>
    <row r="144" spans="1:7" x14ac:dyDescent="0.25">
      <c r="A144" s="2" t="s">
        <v>766</v>
      </c>
      <c r="B144" s="2" t="s">
        <v>428</v>
      </c>
      <c r="C144" s="4" t="s">
        <v>865</v>
      </c>
      <c r="D144" s="4" t="s">
        <v>865</v>
      </c>
      <c r="E144">
        <f t="shared" si="8"/>
        <v>2</v>
      </c>
      <c r="F144">
        <f t="shared" si="9"/>
        <v>0</v>
      </c>
      <c r="G144" t="str">
        <f t="shared" si="10"/>
        <v>Normal</v>
      </c>
    </row>
    <row r="145" spans="1:7" x14ac:dyDescent="0.25">
      <c r="A145" s="2" t="s">
        <v>666</v>
      </c>
      <c r="B145" s="2" t="s">
        <v>430</v>
      </c>
      <c r="C145" s="4" t="s">
        <v>865</v>
      </c>
      <c r="D145" s="4" t="s">
        <v>865</v>
      </c>
      <c r="E145">
        <f t="shared" si="8"/>
        <v>2</v>
      </c>
      <c r="F145">
        <f t="shared" si="9"/>
        <v>0</v>
      </c>
      <c r="G145" t="str">
        <f t="shared" si="10"/>
        <v>Normal</v>
      </c>
    </row>
    <row r="146" spans="1:7" x14ac:dyDescent="0.25">
      <c r="A146" s="2" t="s">
        <v>690</v>
      </c>
      <c r="B146" s="2" t="s">
        <v>433</v>
      </c>
      <c r="C146" s="4" t="s">
        <v>865</v>
      </c>
      <c r="D146" s="4" t="s">
        <v>865</v>
      </c>
      <c r="E146">
        <f t="shared" si="8"/>
        <v>2</v>
      </c>
      <c r="F146">
        <f t="shared" si="9"/>
        <v>0</v>
      </c>
      <c r="G146" t="str">
        <f t="shared" si="10"/>
        <v>Normal</v>
      </c>
    </row>
    <row r="147" spans="1:7" x14ac:dyDescent="0.25">
      <c r="A147" s="2" t="s">
        <v>746</v>
      </c>
      <c r="B147" s="2" t="s">
        <v>436</v>
      </c>
      <c r="C147" s="4" t="s">
        <v>865</v>
      </c>
      <c r="D147" s="4" t="s">
        <v>865</v>
      </c>
      <c r="E147">
        <f t="shared" si="8"/>
        <v>2</v>
      </c>
      <c r="F147">
        <f t="shared" si="9"/>
        <v>0</v>
      </c>
      <c r="G147" t="str">
        <f t="shared" si="10"/>
        <v>Normal</v>
      </c>
    </row>
    <row r="148" spans="1:7" x14ac:dyDescent="0.25">
      <c r="A148" s="2" t="s">
        <v>802</v>
      </c>
      <c r="B148" s="2" t="s">
        <v>439</v>
      </c>
      <c r="C148" s="4" t="s">
        <v>865</v>
      </c>
      <c r="D148" s="4" t="s">
        <v>865</v>
      </c>
      <c r="E148">
        <f t="shared" si="8"/>
        <v>2</v>
      </c>
      <c r="F148">
        <f t="shared" si="9"/>
        <v>0</v>
      </c>
      <c r="G148" t="str">
        <f t="shared" si="10"/>
        <v>Normal</v>
      </c>
    </row>
    <row r="149" spans="1:7" x14ac:dyDescent="0.25">
      <c r="A149" s="2" t="s">
        <v>744</v>
      </c>
      <c r="B149" s="2" t="s">
        <v>442</v>
      </c>
      <c r="C149" s="4" t="s">
        <v>865</v>
      </c>
      <c r="D149" s="4" t="s">
        <v>865</v>
      </c>
      <c r="E149">
        <f t="shared" si="8"/>
        <v>2</v>
      </c>
      <c r="F149">
        <f t="shared" si="9"/>
        <v>0</v>
      </c>
      <c r="G149" t="str">
        <f t="shared" si="10"/>
        <v>Normal</v>
      </c>
    </row>
    <row r="150" spans="1:7" x14ac:dyDescent="0.25">
      <c r="A150" s="2" t="s">
        <v>741</v>
      </c>
      <c r="B150" s="2" t="s">
        <v>445</v>
      </c>
      <c r="C150" s="4" t="s">
        <v>865</v>
      </c>
      <c r="D150" s="4" t="s">
        <v>865</v>
      </c>
      <c r="E150">
        <f t="shared" si="8"/>
        <v>2</v>
      </c>
      <c r="F150">
        <f t="shared" si="9"/>
        <v>0</v>
      </c>
      <c r="G150" t="str">
        <f t="shared" si="10"/>
        <v>Normal</v>
      </c>
    </row>
    <row r="151" spans="1:7" x14ac:dyDescent="0.25">
      <c r="A151" s="2" t="s">
        <v>691</v>
      </c>
      <c r="B151" s="2" t="s">
        <v>447</v>
      </c>
      <c r="C151" s="4" t="s">
        <v>865</v>
      </c>
      <c r="D151" s="4" t="s">
        <v>865</v>
      </c>
      <c r="E151">
        <f t="shared" si="8"/>
        <v>2</v>
      </c>
      <c r="F151">
        <f t="shared" si="9"/>
        <v>0</v>
      </c>
      <c r="G151" t="str">
        <f t="shared" si="10"/>
        <v>Normal</v>
      </c>
    </row>
    <row r="152" spans="1:7" x14ac:dyDescent="0.25">
      <c r="A152" s="2" t="s">
        <v>728</v>
      </c>
      <c r="B152" s="2" t="s">
        <v>450</v>
      </c>
      <c r="C152" s="4" t="s">
        <v>865</v>
      </c>
      <c r="D152" s="4" t="s">
        <v>865</v>
      </c>
      <c r="E152">
        <f t="shared" si="8"/>
        <v>2</v>
      </c>
      <c r="F152">
        <f t="shared" si="9"/>
        <v>0</v>
      </c>
      <c r="G152" t="str">
        <f t="shared" si="10"/>
        <v>Normal</v>
      </c>
    </row>
    <row r="153" spans="1:7" x14ac:dyDescent="0.25">
      <c r="A153" s="2" t="s">
        <v>818</v>
      </c>
      <c r="B153" s="2" t="s">
        <v>453</v>
      </c>
      <c r="C153" s="4" t="s">
        <v>865</v>
      </c>
      <c r="D153" s="4" t="s">
        <v>865</v>
      </c>
      <c r="E153">
        <f t="shared" si="8"/>
        <v>2</v>
      </c>
      <c r="F153">
        <f t="shared" si="9"/>
        <v>0</v>
      </c>
      <c r="G153" t="str">
        <f t="shared" si="10"/>
        <v>Normal</v>
      </c>
    </row>
    <row r="154" spans="1:7" x14ac:dyDescent="0.25">
      <c r="A154" s="2" t="s">
        <v>739</v>
      </c>
      <c r="B154" s="2" t="s">
        <v>456</v>
      </c>
      <c r="C154" s="4" t="s">
        <v>865</v>
      </c>
      <c r="D154" s="4" t="s">
        <v>865</v>
      </c>
      <c r="E154">
        <f t="shared" si="8"/>
        <v>2</v>
      </c>
      <c r="F154">
        <f t="shared" si="9"/>
        <v>0</v>
      </c>
      <c r="G154" t="str">
        <f t="shared" si="10"/>
        <v>Normal</v>
      </c>
    </row>
    <row r="155" spans="1:7" x14ac:dyDescent="0.25">
      <c r="A155" s="2" t="s">
        <v>680</v>
      </c>
      <c r="B155" s="2" t="s">
        <v>459</v>
      </c>
      <c r="C155" s="4" t="s">
        <v>865</v>
      </c>
      <c r="D155" s="4" t="s">
        <v>864</v>
      </c>
      <c r="E155">
        <f t="shared" si="8"/>
        <v>1</v>
      </c>
      <c r="F155">
        <f t="shared" si="9"/>
        <v>1</v>
      </c>
      <c r="G155" t="str">
        <f t="shared" si="10"/>
        <v>At Risk</v>
      </c>
    </row>
    <row r="156" spans="1:7" x14ac:dyDescent="0.25">
      <c r="A156" s="2" t="s">
        <v>737</v>
      </c>
      <c r="B156" s="2" t="s">
        <v>462</v>
      </c>
      <c r="C156" s="4" t="s">
        <v>865</v>
      </c>
      <c r="D156" s="4" t="s">
        <v>865</v>
      </c>
      <c r="E156">
        <f t="shared" si="8"/>
        <v>2</v>
      </c>
      <c r="F156">
        <f t="shared" si="9"/>
        <v>0</v>
      </c>
      <c r="G156" t="str">
        <f t="shared" si="10"/>
        <v>Normal</v>
      </c>
    </row>
    <row r="157" spans="1:7" x14ac:dyDescent="0.25">
      <c r="A157" s="2" t="s">
        <v>797</v>
      </c>
      <c r="B157" s="2" t="s">
        <v>465</v>
      </c>
      <c r="C157" s="4" t="s">
        <v>865</v>
      </c>
      <c r="D157" s="4" t="s">
        <v>865</v>
      </c>
      <c r="E157">
        <f t="shared" si="8"/>
        <v>2</v>
      </c>
      <c r="F157">
        <f t="shared" si="9"/>
        <v>0</v>
      </c>
      <c r="G157" t="str">
        <f t="shared" si="10"/>
        <v>Normal</v>
      </c>
    </row>
    <row r="158" spans="1:7" x14ac:dyDescent="0.25">
      <c r="A158" s="2" t="s">
        <v>736</v>
      </c>
      <c r="B158" s="2" t="s">
        <v>468</v>
      </c>
      <c r="C158" s="4" t="s">
        <v>865</v>
      </c>
      <c r="D158" s="4" t="s">
        <v>865</v>
      </c>
      <c r="E158">
        <f t="shared" si="8"/>
        <v>2</v>
      </c>
      <c r="F158">
        <f t="shared" si="9"/>
        <v>0</v>
      </c>
      <c r="G158" t="str">
        <f t="shared" si="10"/>
        <v>Normal</v>
      </c>
    </row>
    <row r="159" spans="1:7" x14ac:dyDescent="0.25">
      <c r="A159" s="2" t="s">
        <v>735</v>
      </c>
      <c r="B159" s="2" t="s">
        <v>471</v>
      </c>
      <c r="C159" s="4" t="s">
        <v>865</v>
      </c>
      <c r="D159" s="4" t="s">
        <v>865</v>
      </c>
      <c r="E159">
        <f t="shared" si="8"/>
        <v>2</v>
      </c>
      <c r="F159">
        <f t="shared" si="9"/>
        <v>0</v>
      </c>
      <c r="G159" t="str">
        <f t="shared" si="10"/>
        <v>Normal</v>
      </c>
    </row>
    <row r="160" spans="1:7" x14ac:dyDescent="0.25">
      <c r="A160" s="2" t="s">
        <v>734</v>
      </c>
      <c r="B160" s="2" t="s">
        <v>474</v>
      </c>
      <c r="C160" s="4" t="s">
        <v>865</v>
      </c>
      <c r="D160" s="4" t="s">
        <v>865</v>
      </c>
      <c r="E160">
        <f t="shared" si="8"/>
        <v>2</v>
      </c>
      <c r="F160">
        <f t="shared" si="9"/>
        <v>0</v>
      </c>
      <c r="G160" t="str">
        <f t="shared" si="10"/>
        <v>Normal</v>
      </c>
    </row>
    <row r="161" spans="1:7" x14ac:dyDescent="0.25">
      <c r="A161" s="2" t="s">
        <v>839</v>
      </c>
      <c r="B161" s="2" t="s">
        <v>477</v>
      </c>
      <c r="C161" s="4" t="s">
        <v>865</v>
      </c>
      <c r="D161" s="4" t="s">
        <v>865</v>
      </c>
      <c r="E161">
        <f t="shared" si="8"/>
        <v>2</v>
      </c>
      <c r="F161">
        <f t="shared" si="9"/>
        <v>0</v>
      </c>
      <c r="G161" t="str">
        <f t="shared" si="10"/>
        <v>Normal</v>
      </c>
    </row>
    <row r="162" spans="1:7" x14ac:dyDescent="0.25">
      <c r="A162" s="2" t="s">
        <v>688</v>
      </c>
      <c r="B162" s="2" t="s">
        <v>479</v>
      </c>
      <c r="C162" s="4" t="s">
        <v>865</v>
      </c>
      <c r="D162" s="4" t="s">
        <v>865</v>
      </c>
      <c r="E162">
        <f t="shared" si="8"/>
        <v>2</v>
      </c>
      <c r="F162">
        <f t="shared" ref="F162:F193" si="11">+COUNTIF(B162:E162,"No Submission")</f>
        <v>0</v>
      </c>
      <c r="G162" t="str">
        <f t="shared" si="10"/>
        <v>Normal</v>
      </c>
    </row>
    <row r="163" spans="1:7" x14ac:dyDescent="0.25">
      <c r="A163" s="2" t="s">
        <v>733</v>
      </c>
      <c r="B163" s="2" t="s">
        <v>482</v>
      </c>
      <c r="C163" s="4" t="s">
        <v>865</v>
      </c>
      <c r="D163" s="4" t="s">
        <v>865</v>
      </c>
      <c r="E163">
        <f t="shared" si="8"/>
        <v>2</v>
      </c>
      <c r="F163">
        <f t="shared" si="11"/>
        <v>0</v>
      </c>
      <c r="G163" t="str">
        <f t="shared" si="10"/>
        <v>Normal</v>
      </c>
    </row>
    <row r="164" spans="1:7" x14ac:dyDescent="0.25">
      <c r="A164" s="2" t="s">
        <v>658</v>
      </c>
      <c r="B164" s="2" t="s">
        <v>485</v>
      </c>
      <c r="C164" s="4" t="s">
        <v>865</v>
      </c>
      <c r="D164" s="4" t="s">
        <v>864</v>
      </c>
      <c r="E164">
        <f t="shared" si="8"/>
        <v>1</v>
      </c>
      <c r="F164">
        <f t="shared" si="11"/>
        <v>1</v>
      </c>
      <c r="G164" t="str">
        <f t="shared" si="10"/>
        <v>At Risk</v>
      </c>
    </row>
    <row r="165" spans="1:7" x14ac:dyDescent="0.25">
      <c r="A165" s="2" t="s">
        <v>732</v>
      </c>
      <c r="B165" s="2" t="s">
        <v>488</v>
      </c>
      <c r="C165" s="4" t="s">
        <v>865</v>
      </c>
      <c r="D165" s="4" t="s">
        <v>865</v>
      </c>
      <c r="E165">
        <f t="shared" si="8"/>
        <v>2</v>
      </c>
      <c r="F165">
        <f t="shared" si="11"/>
        <v>0</v>
      </c>
      <c r="G165" t="str">
        <f t="shared" si="10"/>
        <v>Normal</v>
      </c>
    </row>
    <row r="166" spans="1:7" x14ac:dyDescent="0.25">
      <c r="A166" s="2" t="s">
        <v>657</v>
      </c>
      <c r="B166" s="2" t="s">
        <v>491</v>
      </c>
      <c r="C166" s="4" t="s">
        <v>865</v>
      </c>
      <c r="D166" s="4" t="s">
        <v>864</v>
      </c>
      <c r="E166">
        <f t="shared" si="8"/>
        <v>1</v>
      </c>
      <c r="F166">
        <f t="shared" si="11"/>
        <v>1</v>
      </c>
      <c r="G166" t="str">
        <f t="shared" si="10"/>
        <v>At Risk</v>
      </c>
    </row>
    <row r="167" spans="1:7" x14ac:dyDescent="0.25">
      <c r="A167" s="2" t="s">
        <v>697</v>
      </c>
      <c r="B167" s="2" t="s">
        <v>493</v>
      </c>
      <c r="C167" s="4" t="s">
        <v>865</v>
      </c>
      <c r="D167" s="4" t="s">
        <v>865</v>
      </c>
      <c r="E167">
        <f t="shared" si="8"/>
        <v>2</v>
      </c>
      <c r="F167">
        <f t="shared" si="11"/>
        <v>0</v>
      </c>
      <c r="G167" t="str">
        <f t="shared" si="10"/>
        <v>Normal</v>
      </c>
    </row>
    <row r="168" spans="1:7" x14ac:dyDescent="0.25">
      <c r="A168" s="2" t="s">
        <v>750</v>
      </c>
      <c r="B168" s="2" t="s">
        <v>496</v>
      </c>
      <c r="C168" s="4" t="s">
        <v>865</v>
      </c>
      <c r="D168" s="4" t="s">
        <v>865</v>
      </c>
      <c r="E168">
        <f t="shared" si="8"/>
        <v>2</v>
      </c>
      <c r="F168">
        <f t="shared" si="11"/>
        <v>0</v>
      </c>
      <c r="G168" t="str">
        <f t="shared" si="10"/>
        <v>Normal</v>
      </c>
    </row>
    <row r="169" spans="1:7" x14ac:dyDescent="0.25">
      <c r="A169" s="2" t="s">
        <v>727</v>
      </c>
      <c r="B169" s="2" t="s">
        <v>499</v>
      </c>
      <c r="C169" s="4" t="s">
        <v>865</v>
      </c>
      <c r="D169" s="4" t="s">
        <v>865</v>
      </c>
      <c r="E169">
        <f t="shared" si="8"/>
        <v>2</v>
      </c>
      <c r="F169">
        <f t="shared" si="11"/>
        <v>0</v>
      </c>
      <c r="G169" t="str">
        <f t="shared" si="10"/>
        <v>Normal</v>
      </c>
    </row>
    <row r="170" spans="1:7" x14ac:dyDescent="0.25">
      <c r="A170" s="2" t="s">
        <v>698</v>
      </c>
      <c r="B170" s="2" t="s">
        <v>501</v>
      </c>
      <c r="C170" s="4" t="s">
        <v>865</v>
      </c>
      <c r="D170" s="4" t="s">
        <v>865</v>
      </c>
      <c r="E170">
        <f t="shared" si="8"/>
        <v>2</v>
      </c>
      <c r="F170">
        <f t="shared" si="11"/>
        <v>0</v>
      </c>
      <c r="G170" t="str">
        <f t="shared" si="10"/>
        <v>Normal</v>
      </c>
    </row>
    <row r="171" spans="1:7" x14ac:dyDescent="0.25">
      <c r="A171" s="2" t="s">
        <v>731</v>
      </c>
      <c r="B171" s="2" t="s">
        <v>504</v>
      </c>
      <c r="C171" s="4" t="s">
        <v>865</v>
      </c>
      <c r="D171" s="4" t="s">
        <v>864</v>
      </c>
      <c r="E171">
        <f t="shared" si="8"/>
        <v>1</v>
      </c>
      <c r="F171">
        <f t="shared" si="11"/>
        <v>1</v>
      </c>
      <c r="G171" t="str">
        <f t="shared" si="10"/>
        <v>At Risk</v>
      </c>
    </row>
    <row r="172" spans="1:7" x14ac:dyDescent="0.25">
      <c r="A172" s="2" t="s">
        <v>686</v>
      </c>
      <c r="B172" s="2" t="s">
        <v>507</v>
      </c>
      <c r="C172" s="4" t="s">
        <v>865</v>
      </c>
      <c r="D172" s="4" t="s">
        <v>865</v>
      </c>
      <c r="E172">
        <f t="shared" si="8"/>
        <v>2</v>
      </c>
      <c r="F172">
        <f t="shared" si="11"/>
        <v>0</v>
      </c>
      <c r="G172" t="str">
        <f t="shared" si="10"/>
        <v>Normal</v>
      </c>
    </row>
    <row r="173" spans="1:7" x14ac:dyDescent="0.25">
      <c r="A173" s="2" t="s">
        <v>726</v>
      </c>
      <c r="B173" s="2" t="s">
        <v>509</v>
      </c>
      <c r="C173" s="4" t="s">
        <v>865</v>
      </c>
      <c r="D173" s="4" t="s">
        <v>865</v>
      </c>
      <c r="E173">
        <f t="shared" si="8"/>
        <v>2</v>
      </c>
      <c r="F173">
        <f t="shared" si="11"/>
        <v>0</v>
      </c>
      <c r="G173" t="str">
        <f t="shared" si="10"/>
        <v>Normal</v>
      </c>
    </row>
    <row r="174" spans="1:7" x14ac:dyDescent="0.25">
      <c r="A174" s="2" t="s">
        <v>714</v>
      </c>
      <c r="B174" s="2" t="s">
        <v>512</v>
      </c>
      <c r="C174" s="4" t="s">
        <v>865</v>
      </c>
      <c r="D174" s="4" t="s">
        <v>865</v>
      </c>
      <c r="E174">
        <f t="shared" si="8"/>
        <v>2</v>
      </c>
      <c r="F174">
        <f t="shared" si="11"/>
        <v>0</v>
      </c>
      <c r="G174" t="str">
        <f t="shared" si="10"/>
        <v>Normal</v>
      </c>
    </row>
    <row r="175" spans="1:7" x14ac:dyDescent="0.25">
      <c r="A175" s="2" t="s">
        <v>763</v>
      </c>
      <c r="B175" s="2" t="s">
        <v>515</v>
      </c>
      <c r="C175" s="4" t="s">
        <v>865</v>
      </c>
      <c r="D175" s="4" t="s">
        <v>865</v>
      </c>
      <c r="E175">
        <f t="shared" si="8"/>
        <v>2</v>
      </c>
      <c r="F175">
        <f t="shared" si="11"/>
        <v>0</v>
      </c>
      <c r="G175" t="str">
        <f t="shared" si="10"/>
        <v>Normal</v>
      </c>
    </row>
    <row r="176" spans="1:7" x14ac:dyDescent="0.25">
      <c r="A176" s="2" t="s">
        <v>777</v>
      </c>
      <c r="B176" s="2" t="s">
        <v>518</v>
      </c>
      <c r="C176" s="4" t="s">
        <v>865</v>
      </c>
      <c r="D176" s="4" t="s">
        <v>865</v>
      </c>
      <c r="E176">
        <f t="shared" si="8"/>
        <v>2</v>
      </c>
      <c r="F176">
        <f t="shared" si="11"/>
        <v>0</v>
      </c>
      <c r="G176" t="str">
        <f t="shared" si="10"/>
        <v>Normal</v>
      </c>
    </row>
    <row r="177" spans="1:7" x14ac:dyDescent="0.25">
      <c r="A177" s="2" t="s">
        <v>722</v>
      </c>
      <c r="B177" s="2" t="s">
        <v>521</v>
      </c>
      <c r="C177" s="4" t="s">
        <v>865</v>
      </c>
      <c r="D177" s="4" t="s">
        <v>865</v>
      </c>
      <c r="E177">
        <f t="shared" si="8"/>
        <v>2</v>
      </c>
      <c r="F177">
        <f t="shared" si="11"/>
        <v>0</v>
      </c>
      <c r="G177" t="str">
        <f t="shared" si="10"/>
        <v>Normal</v>
      </c>
    </row>
    <row r="178" spans="1:7" x14ac:dyDescent="0.25">
      <c r="A178" s="2" t="s">
        <v>721</v>
      </c>
      <c r="B178" s="2" t="s">
        <v>524</v>
      </c>
      <c r="C178" s="4" t="s">
        <v>865</v>
      </c>
      <c r="D178" s="4" t="s">
        <v>865</v>
      </c>
      <c r="E178">
        <f t="shared" si="8"/>
        <v>2</v>
      </c>
      <c r="F178">
        <f t="shared" si="11"/>
        <v>0</v>
      </c>
      <c r="G178" t="str">
        <f t="shared" si="10"/>
        <v>Normal</v>
      </c>
    </row>
    <row r="179" spans="1:7" x14ac:dyDescent="0.25">
      <c r="A179" s="2" t="s">
        <v>767</v>
      </c>
      <c r="B179" s="2" t="s">
        <v>527</v>
      </c>
      <c r="C179" s="4" t="s">
        <v>865</v>
      </c>
      <c r="D179" s="4" t="s">
        <v>865</v>
      </c>
      <c r="E179">
        <f t="shared" si="8"/>
        <v>2</v>
      </c>
      <c r="F179">
        <f t="shared" si="11"/>
        <v>0</v>
      </c>
      <c r="G179" t="str">
        <f t="shared" si="10"/>
        <v>Normal</v>
      </c>
    </row>
    <row r="180" spans="1:7" x14ac:dyDescent="0.25">
      <c r="A180" s="2" t="s">
        <v>656</v>
      </c>
      <c r="B180" s="2" t="s">
        <v>530</v>
      </c>
      <c r="C180" s="4" t="s">
        <v>864</v>
      </c>
      <c r="D180" s="4" t="s">
        <v>865</v>
      </c>
      <c r="E180">
        <f t="shared" si="8"/>
        <v>1</v>
      </c>
      <c r="F180">
        <f t="shared" si="11"/>
        <v>1</v>
      </c>
      <c r="G180" t="str">
        <f t="shared" si="10"/>
        <v>At Risk</v>
      </c>
    </row>
    <row r="181" spans="1:7" x14ac:dyDescent="0.25">
      <c r="A181" s="2" t="s">
        <v>723</v>
      </c>
      <c r="B181" s="2" t="s">
        <v>533</v>
      </c>
      <c r="C181" s="4" t="s">
        <v>865</v>
      </c>
      <c r="D181" s="4" t="s">
        <v>865</v>
      </c>
      <c r="E181">
        <f t="shared" si="8"/>
        <v>2</v>
      </c>
      <c r="F181">
        <f t="shared" si="11"/>
        <v>0</v>
      </c>
      <c r="G181" t="str">
        <f t="shared" si="10"/>
        <v>Normal</v>
      </c>
    </row>
    <row r="182" spans="1:7" x14ac:dyDescent="0.25">
      <c r="A182" s="2" t="s">
        <v>720</v>
      </c>
      <c r="B182" s="2" t="s">
        <v>536</v>
      </c>
      <c r="C182" s="4" t="s">
        <v>865</v>
      </c>
      <c r="D182" s="4" t="s">
        <v>865</v>
      </c>
      <c r="E182">
        <f t="shared" si="8"/>
        <v>2</v>
      </c>
      <c r="F182">
        <f t="shared" si="11"/>
        <v>0</v>
      </c>
      <c r="G182" t="str">
        <f t="shared" si="10"/>
        <v>Normal</v>
      </c>
    </row>
    <row r="183" spans="1:7" x14ac:dyDescent="0.25">
      <c r="A183" s="2" t="s">
        <v>678</v>
      </c>
      <c r="B183" s="2" t="s">
        <v>539</v>
      </c>
      <c r="C183" s="4" t="s">
        <v>865</v>
      </c>
      <c r="D183" s="4" t="s">
        <v>864</v>
      </c>
      <c r="E183">
        <f t="shared" si="8"/>
        <v>1</v>
      </c>
      <c r="F183">
        <f t="shared" si="11"/>
        <v>1</v>
      </c>
      <c r="G183" t="str">
        <f t="shared" si="10"/>
        <v>At Risk</v>
      </c>
    </row>
    <row r="184" spans="1:7" x14ac:dyDescent="0.25">
      <c r="A184" s="2" t="s">
        <v>772</v>
      </c>
      <c r="B184" s="2" t="s">
        <v>541</v>
      </c>
      <c r="C184" s="4" t="s">
        <v>865</v>
      </c>
      <c r="D184" s="4" t="s">
        <v>865</v>
      </c>
      <c r="E184">
        <f t="shared" si="8"/>
        <v>2</v>
      </c>
      <c r="F184">
        <f t="shared" si="11"/>
        <v>0</v>
      </c>
      <c r="G184" t="str">
        <f t="shared" si="10"/>
        <v>Normal</v>
      </c>
    </row>
    <row r="185" spans="1:7" x14ac:dyDescent="0.25">
      <c r="A185" s="2" t="s">
        <v>800</v>
      </c>
      <c r="B185" s="2" t="s">
        <v>544</v>
      </c>
      <c r="C185" s="4" t="s">
        <v>865</v>
      </c>
      <c r="D185" s="4" t="s">
        <v>865</v>
      </c>
      <c r="E185">
        <f t="shared" si="8"/>
        <v>2</v>
      </c>
      <c r="F185">
        <f t="shared" si="11"/>
        <v>0</v>
      </c>
      <c r="G185" t="str">
        <f t="shared" si="10"/>
        <v>Normal</v>
      </c>
    </row>
    <row r="186" spans="1:7" x14ac:dyDescent="0.25">
      <c r="A186" s="2" t="s">
        <v>859</v>
      </c>
      <c r="B186" s="2" t="s">
        <v>547</v>
      </c>
      <c r="C186" s="4" t="s">
        <v>865</v>
      </c>
      <c r="D186" s="4" t="s">
        <v>865</v>
      </c>
      <c r="E186">
        <f t="shared" si="8"/>
        <v>2</v>
      </c>
      <c r="F186">
        <f t="shared" si="11"/>
        <v>0</v>
      </c>
      <c r="G186" t="str">
        <f t="shared" si="10"/>
        <v>Normal</v>
      </c>
    </row>
    <row r="187" spans="1:7" x14ac:dyDescent="0.25">
      <c r="A187" s="2" t="s">
        <v>719</v>
      </c>
      <c r="B187" s="2" t="s">
        <v>550</v>
      </c>
      <c r="C187" s="4" t="s">
        <v>865</v>
      </c>
      <c r="D187" s="4" t="s">
        <v>864</v>
      </c>
      <c r="E187">
        <f t="shared" si="8"/>
        <v>1</v>
      </c>
      <c r="F187">
        <f t="shared" si="11"/>
        <v>1</v>
      </c>
      <c r="G187" t="str">
        <f t="shared" si="10"/>
        <v>At Risk</v>
      </c>
    </row>
    <row r="188" spans="1:7" x14ac:dyDescent="0.25">
      <c r="A188" s="2" t="s">
        <v>718</v>
      </c>
      <c r="B188" s="2" t="s">
        <v>553</v>
      </c>
      <c r="C188" s="4" t="s">
        <v>865</v>
      </c>
      <c r="D188" s="4" t="s">
        <v>865</v>
      </c>
      <c r="E188">
        <f t="shared" si="8"/>
        <v>2</v>
      </c>
      <c r="F188">
        <f t="shared" si="11"/>
        <v>0</v>
      </c>
      <c r="G188" t="str">
        <f t="shared" si="10"/>
        <v>Normal</v>
      </c>
    </row>
    <row r="189" spans="1:7" x14ac:dyDescent="0.25">
      <c r="A189" s="2" t="s">
        <v>655</v>
      </c>
      <c r="B189" s="2" t="s">
        <v>555</v>
      </c>
      <c r="C189" s="4" t="s">
        <v>865</v>
      </c>
      <c r="D189" s="4" t="s">
        <v>864</v>
      </c>
      <c r="E189">
        <f t="shared" si="8"/>
        <v>1</v>
      </c>
      <c r="F189">
        <f t="shared" si="11"/>
        <v>1</v>
      </c>
      <c r="G189" t="str">
        <f t="shared" si="10"/>
        <v>At Risk</v>
      </c>
    </row>
    <row r="190" spans="1:7" x14ac:dyDescent="0.25">
      <c r="A190" s="2" t="s">
        <v>715</v>
      </c>
      <c r="B190" s="2" t="s">
        <v>558</v>
      </c>
      <c r="C190" s="4" t="s">
        <v>865</v>
      </c>
      <c r="D190" s="4" t="s">
        <v>865</v>
      </c>
      <c r="E190">
        <f t="shared" si="8"/>
        <v>2</v>
      </c>
      <c r="F190">
        <f t="shared" si="11"/>
        <v>0</v>
      </c>
      <c r="G190" t="str">
        <f t="shared" si="10"/>
        <v>Normal</v>
      </c>
    </row>
    <row r="191" spans="1:7" x14ac:dyDescent="0.25">
      <c r="A191" s="2" t="s">
        <v>716</v>
      </c>
      <c r="B191" s="2" t="s">
        <v>561</v>
      </c>
      <c r="C191" s="4" t="s">
        <v>865</v>
      </c>
      <c r="D191" s="4" t="s">
        <v>865</v>
      </c>
      <c r="E191">
        <f t="shared" si="8"/>
        <v>2</v>
      </c>
      <c r="F191">
        <f t="shared" si="11"/>
        <v>0</v>
      </c>
      <c r="G191" t="str">
        <f t="shared" si="10"/>
        <v>Normal</v>
      </c>
    </row>
    <row r="192" spans="1:7" x14ac:dyDescent="0.25">
      <c r="A192" s="2" t="s">
        <v>742</v>
      </c>
      <c r="B192" s="2" t="s">
        <v>564</v>
      </c>
      <c r="C192" s="4" t="s">
        <v>865</v>
      </c>
      <c r="D192" s="4" t="s">
        <v>865</v>
      </c>
      <c r="E192">
        <f t="shared" si="8"/>
        <v>2</v>
      </c>
      <c r="F192">
        <f t="shared" si="11"/>
        <v>0</v>
      </c>
      <c r="G192" t="str">
        <f t="shared" si="10"/>
        <v>Normal</v>
      </c>
    </row>
    <row r="193" spans="1:7" x14ac:dyDescent="0.25">
      <c r="A193" s="2" t="s">
        <v>673</v>
      </c>
      <c r="B193" s="2" t="s">
        <v>567</v>
      </c>
      <c r="C193" s="4" t="s">
        <v>864</v>
      </c>
      <c r="D193" s="4" t="s">
        <v>865</v>
      </c>
      <c r="E193">
        <f t="shared" si="8"/>
        <v>1</v>
      </c>
      <c r="F193">
        <f t="shared" si="11"/>
        <v>1</v>
      </c>
      <c r="G193" t="str">
        <f t="shared" si="10"/>
        <v>At Risk</v>
      </c>
    </row>
    <row r="194" spans="1:7" x14ac:dyDescent="0.25">
      <c r="A194" s="2" t="s">
        <v>713</v>
      </c>
      <c r="B194" s="2" t="s">
        <v>569</v>
      </c>
      <c r="C194" s="4" t="s">
        <v>865</v>
      </c>
      <c r="D194" s="4" t="s">
        <v>865</v>
      </c>
      <c r="E194">
        <f t="shared" ref="E194:E257" si="12">+COUNTIF(C194:D194,"Pass")</f>
        <v>2</v>
      </c>
      <c r="F194">
        <f t="shared" ref="F194:F225" si="13">+COUNTIF(B194:E194,"No Submission")</f>
        <v>0</v>
      </c>
      <c r="G194" t="str">
        <f t="shared" si="10"/>
        <v>Normal</v>
      </c>
    </row>
    <row r="195" spans="1:7" x14ac:dyDescent="0.25">
      <c r="A195" s="2" t="s">
        <v>706</v>
      </c>
      <c r="B195" s="2" t="s">
        <v>572</v>
      </c>
      <c r="C195" s="4" t="s">
        <v>865</v>
      </c>
      <c r="D195" s="4" t="s">
        <v>865</v>
      </c>
      <c r="E195">
        <f t="shared" si="12"/>
        <v>2</v>
      </c>
      <c r="F195">
        <f t="shared" ref="F195:F217" si="14">+COUNTIF(B195:E195,"No Submission")</f>
        <v>0</v>
      </c>
      <c r="G195" t="str">
        <f t="shared" ref="G195:G217" si="15">IF(F195&gt;=1,"At Risk","Normal")</f>
        <v>Normal</v>
      </c>
    </row>
    <row r="196" spans="1:7" x14ac:dyDescent="0.25">
      <c r="A196" s="2" t="s">
        <v>664</v>
      </c>
      <c r="B196" s="2" t="s">
        <v>575</v>
      </c>
      <c r="C196" s="4" t="s">
        <v>865</v>
      </c>
      <c r="D196" s="4" t="s">
        <v>865</v>
      </c>
      <c r="E196">
        <f t="shared" si="12"/>
        <v>2</v>
      </c>
      <c r="F196">
        <f t="shared" si="14"/>
        <v>0</v>
      </c>
      <c r="G196" t="str">
        <f t="shared" si="15"/>
        <v>Normal</v>
      </c>
    </row>
    <row r="197" spans="1:7" x14ac:dyDescent="0.25">
      <c r="A197" s="2" t="s">
        <v>709</v>
      </c>
      <c r="B197" s="2" t="s">
        <v>578</v>
      </c>
      <c r="C197" s="4" t="s">
        <v>865</v>
      </c>
      <c r="D197" s="4" t="s">
        <v>865</v>
      </c>
      <c r="E197">
        <f t="shared" si="12"/>
        <v>2</v>
      </c>
      <c r="F197">
        <f t="shared" si="14"/>
        <v>0</v>
      </c>
      <c r="G197" t="str">
        <f t="shared" si="15"/>
        <v>Normal</v>
      </c>
    </row>
    <row r="198" spans="1:7" x14ac:dyDescent="0.25">
      <c r="A198" s="2" t="s">
        <v>677</v>
      </c>
      <c r="B198" s="2" t="s">
        <v>580</v>
      </c>
      <c r="C198" s="4" t="s">
        <v>865</v>
      </c>
      <c r="D198" s="4" t="s">
        <v>865</v>
      </c>
      <c r="E198">
        <f t="shared" si="12"/>
        <v>2</v>
      </c>
      <c r="F198">
        <f t="shared" si="14"/>
        <v>0</v>
      </c>
      <c r="G198" t="str">
        <f t="shared" si="15"/>
        <v>Normal</v>
      </c>
    </row>
    <row r="199" spans="1:7" x14ac:dyDescent="0.25">
      <c r="A199" s="2" t="s">
        <v>699</v>
      </c>
      <c r="B199" s="2" t="s">
        <v>582</v>
      </c>
      <c r="C199" s="4" t="s">
        <v>865</v>
      </c>
      <c r="D199" s="4" t="s">
        <v>865</v>
      </c>
      <c r="E199">
        <f t="shared" si="12"/>
        <v>2</v>
      </c>
      <c r="F199">
        <f t="shared" si="14"/>
        <v>0</v>
      </c>
      <c r="G199" t="str">
        <f t="shared" si="15"/>
        <v>Normal</v>
      </c>
    </row>
    <row r="200" spans="1:7" x14ac:dyDescent="0.25">
      <c r="A200" s="2" t="s">
        <v>708</v>
      </c>
      <c r="B200" s="2" t="s">
        <v>584</v>
      </c>
      <c r="C200" s="4" t="s">
        <v>865</v>
      </c>
      <c r="D200" s="4" t="s">
        <v>865</v>
      </c>
      <c r="E200">
        <f t="shared" si="12"/>
        <v>2</v>
      </c>
      <c r="F200">
        <f t="shared" si="14"/>
        <v>0</v>
      </c>
      <c r="G200" t="str">
        <f t="shared" si="15"/>
        <v>Normal</v>
      </c>
    </row>
    <row r="201" spans="1:7" x14ac:dyDescent="0.25">
      <c r="A201" s="2" t="s">
        <v>838</v>
      </c>
      <c r="B201" s="2" t="s">
        <v>587</v>
      </c>
      <c r="C201" s="4" t="s">
        <v>865</v>
      </c>
      <c r="D201" s="4" t="s">
        <v>865</v>
      </c>
      <c r="E201">
        <f t="shared" si="12"/>
        <v>2</v>
      </c>
      <c r="F201">
        <f t="shared" si="14"/>
        <v>0</v>
      </c>
      <c r="G201" t="str">
        <f t="shared" si="15"/>
        <v>Normal</v>
      </c>
    </row>
    <row r="202" spans="1:7" x14ac:dyDescent="0.25">
      <c r="A202" s="2" t="s">
        <v>838</v>
      </c>
      <c r="B202" s="2" t="s">
        <v>588</v>
      </c>
      <c r="C202" s="4" t="s">
        <v>865</v>
      </c>
      <c r="D202" s="4" t="s">
        <v>865</v>
      </c>
      <c r="E202">
        <f t="shared" si="12"/>
        <v>2</v>
      </c>
      <c r="F202">
        <f t="shared" si="14"/>
        <v>0</v>
      </c>
      <c r="G202" t="str">
        <f t="shared" si="15"/>
        <v>Normal</v>
      </c>
    </row>
    <row r="203" spans="1:7" x14ac:dyDescent="0.25">
      <c r="A203" s="2" t="s">
        <v>705</v>
      </c>
      <c r="B203" s="2" t="s">
        <v>591</v>
      </c>
      <c r="C203" s="4" t="s">
        <v>865</v>
      </c>
      <c r="D203" s="4" t="s">
        <v>865</v>
      </c>
      <c r="E203">
        <f t="shared" si="12"/>
        <v>2</v>
      </c>
      <c r="F203">
        <f t="shared" si="14"/>
        <v>0</v>
      </c>
      <c r="G203" t="str">
        <f t="shared" si="15"/>
        <v>Normal</v>
      </c>
    </row>
    <row r="204" spans="1:7" x14ac:dyDescent="0.25">
      <c r="A204" s="2" t="s">
        <v>703</v>
      </c>
      <c r="B204" s="2" t="s">
        <v>594</v>
      </c>
      <c r="C204" s="4" t="s">
        <v>865</v>
      </c>
      <c r="D204" s="4" t="s">
        <v>865</v>
      </c>
      <c r="E204">
        <f t="shared" si="12"/>
        <v>2</v>
      </c>
      <c r="F204">
        <f t="shared" si="14"/>
        <v>0</v>
      </c>
      <c r="G204" t="str">
        <f t="shared" si="15"/>
        <v>Normal</v>
      </c>
    </row>
    <row r="205" spans="1:7" x14ac:dyDescent="0.25">
      <c r="A205" s="2" t="s">
        <v>663</v>
      </c>
      <c r="B205" s="2" t="s">
        <v>597</v>
      </c>
      <c r="C205" s="4" t="s">
        <v>865</v>
      </c>
      <c r="D205" s="4" t="s">
        <v>865</v>
      </c>
      <c r="E205">
        <f t="shared" si="12"/>
        <v>2</v>
      </c>
      <c r="F205">
        <f t="shared" si="14"/>
        <v>0</v>
      </c>
      <c r="G205" t="str">
        <f t="shared" si="15"/>
        <v>Normal</v>
      </c>
    </row>
    <row r="206" spans="1:7" x14ac:dyDescent="0.25">
      <c r="A206" s="2" t="s">
        <v>702</v>
      </c>
      <c r="B206" s="2" t="s">
        <v>600</v>
      </c>
      <c r="C206" s="4" t="s">
        <v>865</v>
      </c>
      <c r="D206" s="4" t="s">
        <v>865</v>
      </c>
      <c r="E206">
        <f t="shared" si="12"/>
        <v>2</v>
      </c>
      <c r="F206">
        <f t="shared" si="14"/>
        <v>0</v>
      </c>
      <c r="G206" t="str">
        <f t="shared" si="15"/>
        <v>Normal</v>
      </c>
    </row>
    <row r="207" spans="1:7" x14ac:dyDescent="0.25">
      <c r="A207" s="2" t="s">
        <v>820</v>
      </c>
      <c r="B207" s="2" t="s">
        <v>603</v>
      </c>
      <c r="C207" s="4" t="s">
        <v>865</v>
      </c>
      <c r="D207" s="4" t="s">
        <v>865</v>
      </c>
      <c r="E207">
        <f t="shared" si="12"/>
        <v>2</v>
      </c>
      <c r="F207">
        <f t="shared" si="14"/>
        <v>0</v>
      </c>
      <c r="G207" t="str">
        <f t="shared" si="15"/>
        <v>Normal</v>
      </c>
    </row>
    <row r="208" spans="1:7" x14ac:dyDescent="0.25">
      <c r="A208" s="2" t="s">
        <v>672</v>
      </c>
      <c r="B208" s="2" t="s">
        <v>606</v>
      </c>
      <c r="C208" s="4" t="s">
        <v>865</v>
      </c>
      <c r="D208" s="4" t="s">
        <v>865</v>
      </c>
      <c r="E208">
        <f t="shared" si="12"/>
        <v>2</v>
      </c>
      <c r="F208">
        <f t="shared" si="14"/>
        <v>0</v>
      </c>
      <c r="G208" t="str">
        <f t="shared" si="15"/>
        <v>Normal</v>
      </c>
    </row>
    <row r="209" spans="1:7" x14ac:dyDescent="0.25">
      <c r="A209" s="2" t="s">
        <v>679</v>
      </c>
      <c r="B209" s="2" t="s">
        <v>609</v>
      </c>
      <c r="C209" s="4" t="s">
        <v>865</v>
      </c>
      <c r="D209" s="4" t="s">
        <v>864</v>
      </c>
      <c r="E209">
        <f t="shared" si="12"/>
        <v>1</v>
      </c>
      <c r="F209">
        <f t="shared" si="14"/>
        <v>1</v>
      </c>
      <c r="G209" t="str">
        <f t="shared" si="15"/>
        <v>At Risk</v>
      </c>
    </row>
    <row r="210" spans="1:7" x14ac:dyDescent="0.25">
      <c r="A210" s="2" t="s">
        <v>653</v>
      </c>
      <c r="B210" s="2" t="s">
        <v>612</v>
      </c>
      <c r="C210" s="4" t="s">
        <v>865</v>
      </c>
      <c r="D210" s="4" t="s">
        <v>864</v>
      </c>
      <c r="E210">
        <f t="shared" si="12"/>
        <v>1</v>
      </c>
      <c r="F210">
        <f t="shared" si="14"/>
        <v>1</v>
      </c>
      <c r="G210" t="str">
        <f t="shared" si="15"/>
        <v>At Risk</v>
      </c>
    </row>
    <row r="211" spans="1:7" x14ac:dyDescent="0.25">
      <c r="A211" s="2" t="s">
        <v>662</v>
      </c>
      <c r="B211" s="2" t="s">
        <v>614</v>
      </c>
      <c r="C211" s="4" t="s">
        <v>865</v>
      </c>
      <c r="D211" s="4" t="s">
        <v>865</v>
      </c>
      <c r="E211">
        <f t="shared" si="12"/>
        <v>2</v>
      </c>
      <c r="F211">
        <f t="shared" si="14"/>
        <v>0</v>
      </c>
      <c r="G211" t="str">
        <f t="shared" si="15"/>
        <v>Normal</v>
      </c>
    </row>
    <row r="212" spans="1:7" x14ac:dyDescent="0.25">
      <c r="A212" s="2" t="s">
        <v>695</v>
      </c>
      <c r="B212" s="2" t="s">
        <v>617</v>
      </c>
      <c r="C212" s="4" t="s">
        <v>865</v>
      </c>
      <c r="D212" s="4" t="s">
        <v>865</v>
      </c>
      <c r="E212">
        <f t="shared" si="12"/>
        <v>2</v>
      </c>
      <c r="F212">
        <f t="shared" si="14"/>
        <v>0</v>
      </c>
      <c r="G212" t="str">
        <f t="shared" si="15"/>
        <v>Normal</v>
      </c>
    </row>
    <row r="213" spans="1:7" x14ac:dyDescent="0.25">
      <c r="A213" s="2" t="s">
        <v>696</v>
      </c>
      <c r="B213" s="2" t="s">
        <v>620</v>
      </c>
      <c r="C213" s="4" t="s">
        <v>865</v>
      </c>
      <c r="D213" s="4" t="s">
        <v>865</v>
      </c>
      <c r="E213">
        <f t="shared" si="12"/>
        <v>2</v>
      </c>
      <c r="F213">
        <f t="shared" si="14"/>
        <v>0</v>
      </c>
      <c r="G213" t="str">
        <f t="shared" si="15"/>
        <v>Normal</v>
      </c>
    </row>
    <row r="214" spans="1:7" x14ac:dyDescent="0.25">
      <c r="A214" s="2" t="s">
        <v>660</v>
      </c>
      <c r="B214" s="2" t="s">
        <v>622</v>
      </c>
      <c r="C214" s="4" t="s">
        <v>865</v>
      </c>
      <c r="D214" s="4" t="s">
        <v>865</v>
      </c>
      <c r="E214">
        <f t="shared" si="12"/>
        <v>2</v>
      </c>
      <c r="F214">
        <f t="shared" si="14"/>
        <v>0</v>
      </c>
      <c r="G214" t="str">
        <f t="shared" si="15"/>
        <v>Normal</v>
      </c>
    </row>
    <row r="215" spans="1:7" x14ac:dyDescent="0.25">
      <c r="A215" s="2" t="s">
        <v>661</v>
      </c>
      <c r="B215" s="2" t="s">
        <v>625</v>
      </c>
      <c r="C215" s="4" t="s">
        <v>865</v>
      </c>
      <c r="D215" s="4" t="s">
        <v>865</v>
      </c>
      <c r="E215">
        <f t="shared" si="12"/>
        <v>2</v>
      </c>
      <c r="F215">
        <f t="shared" si="14"/>
        <v>0</v>
      </c>
      <c r="G215" t="str">
        <f t="shared" si="15"/>
        <v>Normal</v>
      </c>
    </row>
    <row r="216" spans="1:7" x14ac:dyDescent="0.25">
      <c r="A216" s="2" t="s">
        <v>669</v>
      </c>
      <c r="B216" s="2" t="s">
        <v>628</v>
      </c>
      <c r="C216" s="4" t="s">
        <v>864</v>
      </c>
      <c r="D216" s="4" t="s">
        <v>864</v>
      </c>
      <c r="E216">
        <f t="shared" si="12"/>
        <v>0</v>
      </c>
      <c r="F216">
        <f t="shared" si="14"/>
        <v>2</v>
      </c>
      <c r="G216" t="str">
        <f t="shared" si="15"/>
        <v>At Risk</v>
      </c>
    </row>
    <row r="217" spans="1:7" x14ac:dyDescent="0.25">
      <c r="A217" s="2" t="s">
        <v>671</v>
      </c>
      <c r="B217" s="2" t="s">
        <v>631</v>
      </c>
      <c r="C217" s="4" t="s">
        <v>865</v>
      </c>
      <c r="D217" s="4" t="s">
        <v>865</v>
      </c>
      <c r="E217">
        <f t="shared" si="12"/>
        <v>2</v>
      </c>
      <c r="F217">
        <f t="shared" si="14"/>
        <v>0</v>
      </c>
      <c r="G217" t="str">
        <f t="shared" si="15"/>
        <v>Normal</v>
      </c>
    </row>
  </sheetData>
  <conditionalFormatting sqref="A1:D217">
    <cfRule type="expression" dxfId="3" priority="2">
      <formula>"C2=IF("</formula>
    </cfRule>
  </conditionalFormatting>
  <conditionalFormatting sqref="E1:G1">
    <cfRule type="expression" dxfId="2" priority="1">
      <formula>"C2=IF("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68"/>
  <sheetViews>
    <sheetView workbookViewId="0">
      <pane ySplit="1" topLeftCell="A2" activePane="bottomLeft" state="frozen"/>
      <selection pane="bottomLeft" sqref="A1:D1048576"/>
    </sheetView>
  </sheetViews>
  <sheetFormatPr baseColWidth="10" defaultColWidth="12.6640625" defaultRowHeight="15.75" customHeight="1" x14ac:dyDescent="0.25"/>
  <cols>
    <col min="1" max="1" width="23.44140625" customWidth="1"/>
    <col min="2" max="2" width="22.21875" customWidth="1"/>
    <col min="3" max="3" width="10.33203125" bestFit="1" customWidth="1"/>
    <col min="4" max="4" width="12.33203125" bestFit="1" customWidth="1"/>
  </cols>
  <sheetData>
    <row r="1" spans="1:4" x14ac:dyDescent="0.25">
      <c r="A1" s="1" t="s">
        <v>632</v>
      </c>
      <c r="B1" s="1" t="s">
        <v>2</v>
      </c>
      <c r="C1" s="1" t="s">
        <v>4</v>
      </c>
      <c r="D1" s="5" t="s">
        <v>866</v>
      </c>
    </row>
    <row r="2" spans="1:4" x14ac:dyDescent="0.25">
      <c r="A2" s="2" t="s">
        <v>851</v>
      </c>
      <c r="B2" s="2" t="s">
        <v>74</v>
      </c>
      <c r="C2" s="2" t="s">
        <v>43</v>
      </c>
      <c r="D2" s="6">
        <v>45206</v>
      </c>
    </row>
    <row r="3" spans="1:4" x14ac:dyDescent="0.25">
      <c r="A3" s="2" t="s">
        <v>734</v>
      </c>
      <c r="B3" s="2" t="s">
        <v>474</v>
      </c>
      <c r="C3" s="2" t="s">
        <v>43</v>
      </c>
      <c r="D3" s="6">
        <v>45206</v>
      </c>
    </row>
    <row r="4" spans="1:4" x14ac:dyDescent="0.25">
      <c r="A4" s="2" t="s">
        <v>699</v>
      </c>
      <c r="B4" s="2" t="s">
        <v>582</v>
      </c>
      <c r="C4" s="2" t="s">
        <v>43</v>
      </c>
      <c r="D4" s="6">
        <v>45206</v>
      </c>
    </row>
    <row r="5" spans="1:4" x14ac:dyDescent="0.25">
      <c r="A5" s="2" t="s">
        <v>832</v>
      </c>
      <c r="B5" s="8" t="s">
        <v>140</v>
      </c>
      <c r="C5" s="2" t="s">
        <v>16</v>
      </c>
      <c r="D5" s="6">
        <v>45206</v>
      </c>
    </row>
    <row r="6" spans="1:4" x14ac:dyDescent="0.25">
      <c r="A6" s="2" t="s">
        <v>712</v>
      </c>
      <c r="B6" s="2" t="s">
        <v>306</v>
      </c>
      <c r="C6" s="2" t="s">
        <v>16</v>
      </c>
      <c r="D6" s="6">
        <v>45206</v>
      </c>
    </row>
    <row r="7" spans="1:4" x14ac:dyDescent="0.25">
      <c r="A7" s="2" t="s">
        <v>752</v>
      </c>
      <c r="B7" s="2" t="s">
        <v>416</v>
      </c>
      <c r="C7" s="2" t="s">
        <v>16</v>
      </c>
      <c r="D7" s="6">
        <v>45206</v>
      </c>
    </row>
    <row r="8" spans="1:4" x14ac:dyDescent="0.25">
      <c r="A8" s="2" t="s">
        <v>723</v>
      </c>
      <c r="B8" s="2" t="s">
        <v>533</v>
      </c>
      <c r="C8" s="2" t="s">
        <v>16</v>
      </c>
      <c r="D8" s="6">
        <v>45206</v>
      </c>
    </row>
    <row r="9" spans="1:4" x14ac:dyDescent="0.25">
      <c r="A9" s="2" t="s">
        <v>794</v>
      </c>
      <c r="B9" s="2" t="s">
        <v>251</v>
      </c>
      <c r="C9" s="2" t="s">
        <v>10</v>
      </c>
      <c r="D9" s="6">
        <v>45206</v>
      </c>
    </row>
    <row r="10" spans="1:4" x14ac:dyDescent="0.25">
      <c r="A10" s="2" t="s">
        <v>765</v>
      </c>
      <c r="B10" s="2" t="s">
        <v>356</v>
      </c>
      <c r="C10" s="2" t="s">
        <v>10</v>
      </c>
      <c r="D10" s="6">
        <v>45206</v>
      </c>
    </row>
    <row r="11" spans="1:4" x14ac:dyDescent="0.25">
      <c r="A11" s="2" t="s">
        <v>689</v>
      </c>
      <c r="B11" s="2" t="s">
        <v>202</v>
      </c>
      <c r="C11" s="2" t="s">
        <v>39</v>
      </c>
      <c r="D11" s="6">
        <v>45206</v>
      </c>
    </row>
    <row r="12" spans="1:4" x14ac:dyDescent="0.25">
      <c r="A12" s="2" t="s">
        <v>827</v>
      </c>
      <c r="B12" s="2" t="s">
        <v>143</v>
      </c>
      <c r="C12" s="2" t="s">
        <v>16</v>
      </c>
      <c r="D12" s="6">
        <v>45205</v>
      </c>
    </row>
    <row r="13" spans="1:4" x14ac:dyDescent="0.25">
      <c r="A13" s="2" t="s">
        <v>751</v>
      </c>
      <c r="B13" s="2" t="s">
        <v>155</v>
      </c>
      <c r="C13" s="2" t="s">
        <v>43</v>
      </c>
      <c r="D13" s="6">
        <v>45204</v>
      </c>
    </row>
    <row r="14" spans="1:4" x14ac:dyDescent="0.25">
      <c r="A14" s="2" t="s">
        <v>774</v>
      </c>
      <c r="B14" s="2" t="s">
        <v>322</v>
      </c>
      <c r="C14" s="2" t="s">
        <v>43</v>
      </c>
      <c r="D14" s="6">
        <v>45204</v>
      </c>
    </row>
    <row r="15" spans="1:4" x14ac:dyDescent="0.25">
      <c r="A15" s="2" t="s">
        <v>692</v>
      </c>
      <c r="B15" s="2" t="s">
        <v>370</v>
      </c>
      <c r="C15" s="2" t="s">
        <v>43</v>
      </c>
      <c r="D15" s="6">
        <v>45204</v>
      </c>
    </row>
    <row r="16" spans="1:4" x14ac:dyDescent="0.25">
      <c r="A16" s="2" t="s">
        <v>666</v>
      </c>
      <c r="B16" s="2" t="s">
        <v>430</v>
      </c>
      <c r="C16" s="2" t="s">
        <v>43</v>
      </c>
      <c r="D16" s="6">
        <v>45204</v>
      </c>
    </row>
    <row r="17" spans="1:4" x14ac:dyDescent="0.25">
      <c r="A17" s="2" t="s">
        <v>859</v>
      </c>
      <c r="B17" s="2" t="s">
        <v>547</v>
      </c>
      <c r="C17" s="2" t="s">
        <v>16</v>
      </c>
      <c r="D17" s="6">
        <v>45204</v>
      </c>
    </row>
    <row r="18" spans="1:4" x14ac:dyDescent="0.25">
      <c r="A18" s="2" t="s">
        <v>820</v>
      </c>
      <c r="B18" s="2" t="s">
        <v>603</v>
      </c>
      <c r="C18" s="2" t="s">
        <v>10</v>
      </c>
      <c r="D18" s="6">
        <v>45204</v>
      </c>
    </row>
    <row r="19" spans="1:4" x14ac:dyDescent="0.25">
      <c r="A19" s="2" t="s">
        <v>844</v>
      </c>
      <c r="B19" s="2" t="s">
        <v>93</v>
      </c>
      <c r="C19" s="2" t="s">
        <v>39</v>
      </c>
      <c r="D19" s="6">
        <v>45204</v>
      </c>
    </row>
    <row r="20" spans="1:4" x14ac:dyDescent="0.25">
      <c r="A20" s="2" t="s">
        <v>700</v>
      </c>
      <c r="B20" s="2" t="s">
        <v>214</v>
      </c>
      <c r="C20" s="2" t="s">
        <v>39</v>
      </c>
      <c r="D20" s="6">
        <v>45204</v>
      </c>
    </row>
    <row r="21" spans="1:4" x14ac:dyDescent="0.25">
      <c r="A21" s="2" t="s">
        <v>785</v>
      </c>
      <c r="B21" s="2" t="s">
        <v>267</v>
      </c>
      <c r="C21" s="2" t="s">
        <v>39</v>
      </c>
      <c r="D21" s="6">
        <v>45204</v>
      </c>
    </row>
    <row r="22" spans="1:4" x14ac:dyDescent="0.25">
      <c r="A22" s="2" t="s">
        <v>732</v>
      </c>
      <c r="B22" s="2" t="s">
        <v>488</v>
      </c>
      <c r="C22" s="2" t="s">
        <v>39</v>
      </c>
      <c r="D22" s="6">
        <v>45204</v>
      </c>
    </row>
    <row r="23" spans="1:4" x14ac:dyDescent="0.25">
      <c r="A23" s="2" t="s">
        <v>851</v>
      </c>
      <c r="B23" s="2" t="s">
        <v>74</v>
      </c>
      <c r="C23" s="2" t="s">
        <v>43</v>
      </c>
      <c r="D23" s="6">
        <v>45201</v>
      </c>
    </row>
    <row r="24" spans="1:4" x14ac:dyDescent="0.25">
      <c r="A24" s="2" t="s">
        <v>849</v>
      </c>
      <c r="B24" s="2" t="s">
        <v>90</v>
      </c>
      <c r="C24" s="2" t="s">
        <v>43</v>
      </c>
      <c r="D24" s="6">
        <v>45201</v>
      </c>
    </row>
    <row r="25" spans="1:4" x14ac:dyDescent="0.25">
      <c r="A25" s="2" t="s">
        <v>751</v>
      </c>
      <c r="B25" s="2" t="s">
        <v>155</v>
      </c>
      <c r="C25" s="2" t="s">
        <v>43</v>
      </c>
      <c r="D25" s="6">
        <v>45201</v>
      </c>
    </row>
    <row r="26" spans="1:4" x14ac:dyDescent="0.25">
      <c r="A26" s="2" t="s">
        <v>648</v>
      </c>
      <c r="B26" s="2" t="s">
        <v>199</v>
      </c>
      <c r="C26" s="2" t="s">
        <v>43</v>
      </c>
      <c r="D26" s="6">
        <v>45201</v>
      </c>
    </row>
    <row r="27" spans="1:4" x14ac:dyDescent="0.25">
      <c r="A27" s="2" t="s">
        <v>774</v>
      </c>
      <c r="B27" s="2" t="s">
        <v>322</v>
      </c>
      <c r="C27" s="2" t="s">
        <v>43</v>
      </c>
      <c r="D27" s="6">
        <v>45201</v>
      </c>
    </row>
    <row r="28" spans="1:4" x14ac:dyDescent="0.25">
      <c r="A28" s="2" t="s">
        <v>807</v>
      </c>
      <c r="B28" s="2" t="s">
        <v>368</v>
      </c>
      <c r="C28" s="2" t="s">
        <v>43</v>
      </c>
      <c r="D28" s="6">
        <v>45201</v>
      </c>
    </row>
    <row r="29" spans="1:4" x14ac:dyDescent="0.25">
      <c r="A29" s="2" t="s">
        <v>692</v>
      </c>
      <c r="B29" s="2" t="s">
        <v>370</v>
      </c>
      <c r="C29" s="2" t="s">
        <v>43</v>
      </c>
      <c r="D29" s="6">
        <v>45201</v>
      </c>
    </row>
    <row r="30" spans="1:4" x14ac:dyDescent="0.25">
      <c r="A30" s="2" t="s">
        <v>734</v>
      </c>
      <c r="B30" s="2" t="s">
        <v>474</v>
      </c>
      <c r="C30" s="2" t="s">
        <v>43</v>
      </c>
      <c r="D30" s="6">
        <v>45201</v>
      </c>
    </row>
    <row r="31" spans="1:4" x14ac:dyDescent="0.25">
      <c r="A31" s="2" t="s">
        <v>699</v>
      </c>
      <c r="B31" s="2" t="s">
        <v>582</v>
      </c>
      <c r="C31" s="2" t="s">
        <v>43</v>
      </c>
      <c r="D31" s="6">
        <v>45201</v>
      </c>
    </row>
    <row r="32" spans="1:4" x14ac:dyDescent="0.25">
      <c r="A32" s="2" t="s">
        <v>832</v>
      </c>
      <c r="B32" s="2" t="s">
        <v>140</v>
      </c>
      <c r="C32" s="2" t="s">
        <v>16</v>
      </c>
      <c r="D32" s="6">
        <v>45201</v>
      </c>
    </row>
    <row r="33" spans="1:4" x14ac:dyDescent="0.25">
      <c r="A33" s="2" t="s">
        <v>730</v>
      </c>
      <c r="B33" s="2" t="s">
        <v>243</v>
      </c>
      <c r="C33" s="2" t="s">
        <v>16</v>
      </c>
      <c r="D33" s="6">
        <v>45201</v>
      </c>
    </row>
    <row r="34" spans="1:4" x14ac:dyDescent="0.25">
      <c r="A34" s="2" t="s">
        <v>788</v>
      </c>
      <c r="B34" s="2" t="s">
        <v>264</v>
      </c>
      <c r="C34" s="2" t="s">
        <v>16</v>
      </c>
      <c r="D34" s="6">
        <v>45201</v>
      </c>
    </row>
    <row r="35" spans="1:4" x14ac:dyDescent="0.25">
      <c r="A35" s="2" t="s">
        <v>712</v>
      </c>
      <c r="B35" s="2" t="s">
        <v>306</v>
      </c>
      <c r="C35" s="2" t="s">
        <v>16</v>
      </c>
      <c r="D35" s="6">
        <v>45201</v>
      </c>
    </row>
    <row r="36" spans="1:4" x14ac:dyDescent="0.25">
      <c r="A36" s="2" t="s">
        <v>752</v>
      </c>
      <c r="B36" s="2" t="s">
        <v>416</v>
      </c>
      <c r="C36" s="2" t="s">
        <v>16</v>
      </c>
      <c r="D36" s="6">
        <v>45201</v>
      </c>
    </row>
    <row r="37" spans="1:4" x14ac:dyDescent="0.25">
      <c r="A37" s="2" t="s">
        <v>733</v>
      </c>
      <c r="B37" s="2" t="s">
        <v>482</v>
      </c>
      <c r="C37" s="2" t="s">
        <v>16</v>
      </c>
      <c r="D37" s="6">
        <v>45201</v>
      </c>
    </row>
    <row r="38" spans="1:4" x14ac:dyDescent="0.25">
      <c r="A38" s="2" t="s">
        <v>723</v>
      </c>
      <c r="B38" s="2" t="s">
        <v>533</v>
      </c>
      <c r="C38" s="2" t="s">
        <v>16</v>
      </c>
      <c r="D38" s="6">
        <v>45201</v>
      </c>
    </row>
    <row r="39" spans="1:4" x14ac:dyDescent="0.25">
      <c r="A39" s="2" t="s">
        <v>800</v>
      </c>
      <c r="B39" s="2" t="s">
        <v>544</v>
      </c>
      <c r="C39" s="2" t="s">
        <v>16</v>
      </c>
      <c r="D39" s="6">
        <v>45201</v>
      </c>
    </row>
    <row r="40" spans="1:4" x14ac:dyDescent="0.25">
      <c r="A40" s="2" t="s">
        <v>702</v>
      </c>
      <c r="B40" s="2" t="s">
        <v>600</v>
      </c>
      <c r="C40" s="2" t="s">
        <v>16</v>
      </c>
      <c r="D40" s="6">
        <v>45201</v>
      </c>
    </row>
    <row r="41" spans="1:4" x14ac:dyDescent="0.25">
      <c r="A41" s="2" t="s">
        <v>810</v>
      </c>
      <c r="B41" s="2" t="s">
        <v>208</v>
      </c>
      <c r="C41" s="2" t="s">
        <v>10</v>
      </c>
      <c r="D41" s="6">
        <v>45201</v>
      </c>
    </row>
    <row r="42" spans="1:4" x14ac:dyDescent="0.25">
      <c r="A42" s="2" t="s">
        <v>765</v>
      </c>
      <c r="B42" s="2" t="s">
        <v>356</v>
      </c>
      <c r="C42" s="2" t="s">
        <v>10</v>
      </c>
      <c r="D42" s="6">
        <v>45201</v>
      </c>
    </row>
    <row r="43" spans="1:4" x14ac:dyDescent="0.25">
      <c r="A43" s="2" t="s">
        <v>772</v>
      </c>
      <c r="B43" s="2" t="s">
        <v>541</v>
      </c>
      <c r="C43" s="2" t="s">
        <v>10</v>
      </c>
      <c r="D43" s="6">
        <v>45201</v>
      </c>
    </row>
    <row r="44" spans="1:4" x14ac:dyDescent="0.25">
      <c r="A44" s="2" t="s">
        <v>820</v>
      </c>
      <c r="B44" s="2" t="s">
        <v>603</v>
      </c>
      <c r="C44" s="2" t="s">
        <v>10</v>
      </c>
      <c r="D44" s="6">
        <v>45201</v>
      </c>
    </row>
    <row r="45" spans="1:4" x14ac:dyDescent="0.25">
      <c r="A45" s="2" t="s">
        <v>844</v>
      </c>
      <c r="B45" s="2" t="s">
        <v>93</v>
      </c>
      <c r="C45" s="2" t="s">
        <v>39</v>
      </c>
      <c r="D45" s="6">
        <v>45201</v>
      </c>
    </row>
    <row r="46" spans="1:4" x14ac:dyDescent="0.25">
      <c r="A46" s="2" t="s">
        <v>824</v>
      </c>
      <c r="B46" s="2" t="s">
        <v>152</v>
      </c>
      <c r="C46" s="2" t="s">
        <v>39</v>
      </c>
      <c r="D46" s="6">
        <v>45201</v>
      </c>
    </row>
    <row r="47" spans="1:4" x14ac:dyDescent="0.25">
      <c r="A47" s="2" t="s">
        <v>700</v>
      </c>
      <c r="B47" s="2" t="s">
        <v>214</v>
      </c>
      <c r="C47" s="2" t="s">
        <v>39</v>
      </c>
      <c r="D47" s="6">
        <v>45201</v>
      </c>
    </row>
    <row r="48" spans="1:4" x14ac:dyDescent="0.25">
      <c r="A48" s="2" t="s">
        <v>785</v>
      </c>
      <c r="B48" s="2" t="s">
        <v>267</v>
      </c>
      <c r="C48" s="2" t="s">
        <v>39</v>
      </c>
      <c r="D48" s="6">
        <v>45201</v>
      </c>
    </row>
    <row r="49" spans="1:4" x14ac:dyDescent="0.25">
      <c r="A49" s="2" t="s">
        <v>776</v>
      </c>
      <c r="B49" s="2" t="s">
        <v>319</v>
      </c>
      <c r="C49" s="2" t="s">
        <v>39</v>
      </c>
      <c r="D49" s="6">
        <v>45201</v>
      </c>
    </row>
    <row r="50" spans="1:4" x14ac:dyDescent="0.25">
      <c r="A50" s="2" t="s">
        <v>766</v>
      </c>
      <c r="B50" s="2" t="s">
        <v>428</v>
      </c>
      <c r="C50" s="2" t="s">
        <v>39</v>
      </c>
      <c r="D50" s="6">
        <v>45201</v>
      </c>
    </row>
    <row r="51" spans="1:4" x14ac:dyDescent="0.25">
      <c r="A51" s="2" t="s">
        <v>766</v>
      </c>
      <c r="B51" s="2" t="s">
        <v>428</v>
      </c>
      <c r="C51" s="2" t="s">
        <v>39</v>
      </c>
      <c r="D51" s="6">
        <v>45201</v>
      </c>
    </row>
    <row r="52" spans="1:4" x14ac:dyDescent="0.25">
      <c r="A52" s="2" t="s">
        <v>732</v>
      </c>
      <c r="B52" s="2" t="s">
        <v>488</v>
      </c>
      <c r="C52" s="2" t="s">
        <v>39</v>
      </c>
      <c r="D52" s="6">
        <v>45201</v>
      </c>
    </row>
    <row r="53" spans="1:4" x14ac:dyDescent="0.25">
      <c r="A53" s="2" t="s">
        <v>823</v>
      </c>
      <c r="B53" s="2" t="s">
        <v>132</v>
      </c>
      <c r="C53" s="2" t="s">
        <v>43</v>
      </c>
      <c r="D53" s="6">
        <v>45198</v>
      </c>
    </row>
    <row r="54" spans="1:4" x14ac:dyDescent="0.25">
      <c r="A54" s="2" t="s">
        <v>740</v>
      </c>
      <c r="B54" s="2" t="s">
        <v>190</v>
      </c>
      <c r="C54" s="2" t="s">
        <v>43</v>
      </c>
      <c r="D54" s="6">
        <v>45198</v>
      </c>
    </row>
    <row r="55" spans="1:4" x14ac:dyDescent="0.25">
      <c r="A55" s="2" t="s">
        <v>780</v>
      </c>
      <c r="B55" s="2" t="s">
        <v>297</v>
      </c>
      <c r="C55" s="2" t="s">
        <v>43</v>
      </c>
      <c r="D55" s="6">
        <v>45198</v>
      </c>
    </row>
    <row r="56" spans="1:4" x14ac:dyDescent="0.25">
      <c r="A56" s="2" t="s">
        <v>753</v>
      </c>
      <c r="B56" s="2" t="s">
        <v>402</v>
      </c>
      <c r="C56" s="2" t="s">
        <v>43</v>
      </c>
      <c r="D56" s="6">
        <v>45198</v>
      </c>
    </row>
    <row r="57" spans="1:4" x14ac:dyDescent="0.25">
      <c r="A57" s="2" t="s">
        <v>797</v>
      </c>
      <c r="B57" s="2" t="s">
        <v>465</v>
      </c>
      <c r="C57" s="2" t="s">
        <v>43</v>
      </c>
      <c r="D57" s="6">
        <v>45198</v>
      </c>
    </row>
    <row r="58" spans="1:4" x14ac:dyDescent="0.25">
      <c r="A58" s="2" t="s">
        <v>763</v>
      </c>
      <c r="B58" s="2" t="s">
        <v>515</v>
      </c>
      <c r="C58" s="2" t="s">
        <v>43</v>
      </c>
      <c r="D58" s="6">
        <v>45198</v>
      </c>
    </row>
    <row r="59" spans="1:4" x14ac:dyDescent="0.25">
      <c r="A59" s="2" t="s">
        <v>759</v>
      </c>
      <c r="B59" s="2" t="s">
        <v>187</v>
      </c>
      <c r="C59" s="2" t="s">
        <v>16</v>
      </c>
      <c r="D59" s="6">
        <v>45198</v>
      </c>
    </row>
    <row r="60" spans="1:4" x14ac:dyDescent="0.25">
      <c r="A60" s="2" t="s">
        <v>769</v>
      </c>
      <c r="B60" s="2" t="s">
        <v>351</v>
      </c>
      <c r="C60" s="2" t="s">
        <v>16</v>
      </c>
      <c r="D60" s="6">
        <v>45198</v>
      </c>
    </row>
    <row r="61" spans="1:4" x14ac:dyDescent="0.25">
      <c r="A61" s="2" t="s">
        <v>754</v>
      </c>
      <c r="B61" s="2" t="s">
        <v>396</v>
      </c>
      <c r="C61" s="2" t="s">
        <v>16</v>
      </c>
      <c r="D61" s="6">
        <v>45198</v>
      </c>
    </row>
    <row r="62" spans="1:4" x14ac:dyDescent="0.25">
      <c r="A62" s="2" t="s">
        <v>739</v>
      </c>
      <c r="B62" s="2" t="s">
        <v>456</v>
      </c>
      <c r="C62" s="2" t="s">
        <v>16</v>
      </c>
      <c r="D62" s="6">
        <v>45198</v>
      </c>
    </row>
    <row r="63" spans="1:4" x14ac:dyDescent="0.25">
      <c r="A63" s="2" t="s">
        <v>722</v>
      </c>
      <c r="B63" s="2" t="s">
        <v>521</v>
      </c>
      <c r="C63" s="2" t="s">
        <v>16</v>
      </c>
      <c r="D63" s="6">
        <v>45198</v>
      </c>
    </row>
    <row r="64" spans="1:4" x14ac:dyDescent="0.25">
      <c r="A64" s="2" t="s">
        <v>709</v>
      </c>
      <c r="B64" s="2" t="s">
        <v>578</v>
      </c>
      <c r="C64" s="2" t="s">
        <v>16</v>
      </c>
      <c r="D64" s="6">
        <v>45198</v>
      </c>
    </row>
    <row r="65" spans="1:4" x14ac:dyDescent="0.25">
      <c r="A65" s="2" t="s">
        <v>808</v>
      </c>
      <c r="B65" s="2" t="s">
        <v>60</v>
      </c>
      <c r="C65" s="2" t="s">
        <v>10</v>
      </c>
      <c r="D65" s="6">
        <v>45198</v>
      </c>
    </row>
    <row r="66" spans="1:4" x14ac:dyDescent="0.25">
      <c r="A66" s="2" t="s">
        <v>817</v>
      </c>
      <c r="B66" s="2" t="s">
        <v>184</v>
      </c>
      <c r="C66" s="2" t="s">
        <v>10</v>
      </c>
      <c r="D66" s="6">
        <v>45198</v>
      </c>
    </row>
    <row r="67" spans="1:4" x14ac:dyDescent="0.25">
      <c r="A67" s="2" t="s">
        <v>796</v>
      </c>
      <c r="B67" s="2" t="s">
        <v>238</v>
      </c>
      <c r="C67" s="2" t="s">
        <v>10</v>
      </c>
      <c r="D67" s="6">
        <v>45198</v>
      </c>
    </row>
    <row r="68" spans="1:4" x14ac:dyDescent="0.25">
      <c r="A68" s="2" t="s">
        <v>861</v>
      </c>
      <c r="B68" s="2" t="s">
        <v>240</v>
      </c>
      <c r="C68" s="2" t="s">
        <v>10</v>
      </c>
      <c r="D68" s="6">
        <v>45198</v>
      </c>
    </row>
    <row r="69" spans="1:4" x14ac:dyDescent="0.25">
      <c r="A69" s="2" t="s">
        <v>801</v>
      </c>
      <c r="B69" s="2" t="s">
        <v>294</v>
      </c>
      <c r="C69" s="2" t="s">
        <v>10</v>
      </c>
      <c r="D69" s="6">
        <v>45198</v>
      </c>
    </row>
    <row r="70" spans="1:4" x14ac:dyDescent="0.25">
      <c r="A70" s="2" t="s">
        <v>737</v>
      </c>
      <c r="B70" s="2" t="s">
        <v>462</v>
      </c>
      <c r="C70" s="2" t="s">
        <v>10</v>
      </c>
      <c r="D70" s="6">
        <v>45198</v>
      </c>
    </row>
    <row r="71" spans="1:4" x14ac:dyDescent="0.25">
      <c r="A71" s="2" t="s">
        <v>664</v>
      </c>
      <c r="B71" s="2" t="s">
        <v>575</v>
      </c>
      <c r="C71" s="2" t="s">
        <v>10</v>
      </c>
      <c r="D71" s="6">
        <v>45198</v>
      </c>
    </row>
    <row r="72" spans="1:4" x14ac:dyDescent="0.25">
      <c r="A72" s="2" t="s">
        <v>708</v>
      </c>
      <c r="B72" s="2" t="s">
        <v>584</v>
      </c>
      <c r="C72" s="2" t="s">
        <v>10</v>
      </c>
      <c r="D72" s="6">
        <v>45198</v>
      </c>
    </row>
    <row r="73" spans="1:4" x14ac:dyDescent="0.25">
      <c r="A73" s="2" t="s">
        <v>693</v>
      </c>
      <c r="B73" s="2" t="s">
        <v>50</v>
      </c>
      <c r="C73" s="2" t="s">
        <v>39</v>
      </c>
      <c r="D73" s="6">
        <v>45198</v>
      </c>
    </row>
    <row r="74" spans="1:4" x14ac:dyDescent="0.25">
      <c r="A74" s="2" t="s">
        <v>860</v>
      </c>
      <c r="B74" s="2" t="s">
        <v>54</v>
      </c>
      <c r="C74" s="2" t="s">
        <v>39</v>
      </c>
      <c r="D74" s="6">
        <v>45198</v>
      </c>
    </row>
    <row r="75" spans="1:4" x14ac:dyDescent="0.25">
      <c r="A75" s="2" t="s">
        <v>836</v>
      </c>
      <c r="B75" s="2" t="s">
        <v>124</v>
      </c>
      <c r="C75" s="2" t="s">
        <v>39</v>
      </c>
      <c r="D75" s="6">
        <v>45198</v>
      </c>
    </row>
    <row r="76" spans="1:4" x14ac:dyDescent="0.25">
      <c r="A76" s="2" t="s">
        <v>834</v>
      </c>
      <c r="B76" s="2" t="s">
        <v>127</v>
      </c>
      <c r="C76" s="2" t="s">
        <v>39</v>
      </c>
      <c r="D76" s="6">
        <v>45198</v>
      </c>
    </row>
    <row r="77" spans="1:4" x14ac:dyDescent="0.25">
      <c r="A77" s="2" t="s">
        <v>681</v>
      </c>
      <c r="B77" s="2" t="s">
        <v>235</v>
      </c>
      <c r="C77" s="2" t="s">
        <v>39</v>
      </c>
      <c r="D77" s="6">
        <v>45198</v>
      </c>
    </row>
    <row r="78" spans="1:4" x14ac:dyDescent="0.25">
      <c r="A78" s="2" t="s">
        <v>793</v>
      </c>
      <c r="B78" s="2" t="s">
        <v>300</v>
      </c>
      <c r="C78" s="2" t="s">
        <v>39</v>
      </c>
      <c r="D78" s="6">
        <v>45198</v>
      </c>
    </row>
    <row r="79" spans="1:4" x14ac:dyDescent="0.25">
      <c r="A79" s="2" t="s">
        <v>704</v>
      </c>
      <c r="B79" s="2" t="s">
        <v>346</v>
      </c>
      <c r="C79" s="2" t="s">
        <v>39</v>
      </c>
      <c r="D79" s="6">
        <v>45198</v>
      </c>
    </row>
    <row r="80" spans="1:4" x14ac:dyDescent="0.25">
      <c r="A80" s="2" t="s">
        <v>770</v>
      </c>
      <c r="B80" s="2" t="s">
        <v>349</v>
      </c>
      <c r="C80" s="2" t="s">
        <v>39</v>
      </c>
      <c r="D80" s="6">
        <v>45198</v>
      </c>
    </row>
    <row r="81" spans="1:4" x14ac:dyDescent="0.25">
      <c r="A81" s="2" t="s">
        <v>745</v>
      </c>
      <c r="B81" s="2" t="s">
        <v>399</v>
      </c>
      <c r="C81" s="2" t="s">
        <v>39</v>
      </c>
      <c r="D81" s="6">
        <v>45198</v>
      </c>
    </row>
    <row r="82" spans="1:4" x14ac:dyDescent="0.25">
      <c r="A82" s="2" t="s">
        <v>777</v>
      </c>
      <c r="B82" s="2" t="s">
        <v>518</v>
      </c>
      <c r="C82" s="2" t="s">
        <v>39</v>
      </c>
      <c r="D82" s="6">
        <v>45198</v>
      </c>
    </row>
    <row r="83" spans="1:4" x14ac:dyDescent="0.25">
      <c r="A83" s="2" t="s">
        <v>671</v>
      </c>
      <c r="B83" s="2" t="s">
        <v>631</v>
      </c>
      <c r="C83" s="2" t="s">
        <v>39</v>
      </c>
      <c r="D83" s="6">
        <v>45198</v>
      </c>
    </row>
    <row r="84" spans="1:4" x14ac:dyDescent="0.25">
      <c r="A84" s="2" t="s">
        <v>719</v>
      </c>
      <c r="B84" s="2" t="s">
        <v>550</v>
      </c>
      <c r="C84" s="2" t="s">
        <v>43</v>
      </c>
      <c r="D84" s="6">
        <v>45197</v>
      </c>
    </row>
    <row r="85" spans="1:4" x14ac:dyDescent="0.25">
      <c r="A85" s="2" t="s">
        <v>674</v>
      </c>
      <c r="B85" s="2" t="s">
        <v>137</v>
      </c>
      <c r="C85" s="2" t="s">
        <v>43</v>
      </c>
      <c r="D85" s="6">
        <v>45197</v>
      </c>
    </row>
    <row r="86" spans="1:4" x14ac:dyDescent="0.25">
      <c r="A86" s="2" t="s">
        <v>846</v>
      </c>
      <c r="B86" s="2" t="s">
        <v>96</v>
      </c>
      <c r="C86" s="2" t="s">
        <v>16</v>
      </c>
      <c r="D86" s="6">
        <v>45197</v>
      </c>
    </row>
    <row r="87" spans="1:4" x14ac:dyDescent="0.25">
      <c r="A87" s="2" t="s">
        <v>784</v>
      </c>
      <c r="B87" s="2" t="s">
        <v>270</v>
      </c>
      <c r="C87" s="2" t="s">
        <v>16</v>
      </c>
      <c r="D87" s="6">
        <v>45197</v>
      </c>
    </row>
    <row r="88" spans="1:4" x14ac:dyDescent="0.25">
      <c r="A88" s="2" t="s">
        <v>672</v>
      </c>
      <c r="B88" s="2" t="s">
        <v>606</v>
      </c>
      <c r="C88" s="2" t="s">
        <v>16</v>
      </c>
      <c r="D88" s="6">
        <v>45197</v>
      </c>
    </row>
    <row r="89" spans="1:4" x14ac:dyDescent="0.25">
      <c r="A89" s="2" t="s">
        <v>830</v>
      </c>
      <c r="B89" s="2" t="s">
        <v>158</v>
      </c>
      <c r="C89" s="2" t="s">
        <v>10</v>
      </c>
      <c r="D89" s="6">
        <v>45197</v>
      </c>
    </row>
    <row r="90" spans="1:4" x14ac:dyDescent="0.25">
      <c r="A90" s="2" t="s">
        <v>775</v>
      </c>
      <c r="B90" s="2" t="s">
        <v>324</v>
      </c>
      <c r="C90" s="2" t="s">
        <v>10</v>
      </c>
      <c r="D90" s="6">
        <v>45197</v>
      </c>
    </row>
    <row r="91" spans="1:4" x14ac:dyDescent="0.25">
      <c r="A91" s="2" t="s">
        <v>687</v>
      </c>
      <c r="B91" s="2" t="s">
        <v>373</v>
      </c>
      <c r="C91" s="2" t="s">
        <v>10</v>
      </c>
      <c r="D91" s="6">
        <v>45197</v>
      </c>
    </row>
    <row r="92" spans="1:4" x14ac:dyDescent="0.25">
      <c r="A92" s="2" t="s">
        <v>690</v>
      </c>
      <c r="B92" s="2" t="s">
        <v>433</v>
      </c>
      <c r="C92" s="2" t="s">
        <v>10</v>
      </c>
      <c r="D92" s="6">
        <v>45197</v>
      </c>
    </row>
    <row r="93" spans="1:4" x14ac:dyDescent="0.25">
      <c r="A93" s="2" t="s">
        <v>806</v>
      </c>
      <c r="B93" s="2" t="s">
        <v>217</v>
      </c>
      <c r="C93" s="2" t="s">
        <v>39</v>
      </c>
      <c r="D93" s="6">
        <v>45197</v>
      </c>
    </row>
    <row r="94" spans="1:4" x14ac:dyDescent="0.25">
      <c r="A94" s="2" t="s">
        <v>827</v>
      </c>
      <c r="B94" s="2" t="s">
        <v>143</v>
      </c>
      <c r="C94" s="2" t="s">
        <v>16</v>
      </c>
      <c r="D94" s="6">
        <v>45196</v>
      </c>
    </row>
    <row r="95" spans="1:4" x14ac:dyDescent="0.25">
      <c r="A95" s="2" t="s">
        <v>791</v>
      </c>
      <c r="B95" s="2" t="s">
        <v>257</v>
      </c>
      <c r="C95" s="2" t="s">
        <v>10</v>
      </c>
      <c r="D95" s="6">
        <v>45196</v>
      </c>
    </row>
    <row r="96" spans="1:4" x14ac:dyDescent="0.25">
      <c r="A96" s="2" t="s">
        <v>738</v>
      </c>
      <c r="B96" s="2" t="s">
        <v>122</v>
      </c>
      <c r="C96" s="2" t="s">
        <v>43</v>
      </c>
      <c r="D96" s="6">
        <v>45190</v>
      </c>
    </row>
    <row r="97" spans="1:4" x14ac:dyDescent="0.25">
      <c r="A97" s="2" t="s">
        <v>819</v>
      </c>
      <c r="B97" s="2" t="s">
        <v>173</v>
      </c>
      <c r="C97" s="2" t="s">
        <v>43</v>
      </c>
      <c r="D97" s="6">
        <v>45190</v>
      </c>
    </row>
    <row r="98" spans="1:4" x14ac:dyDescent="0.25">
      <c r="A98" s="2" t="s">
        <v>740</v>
      </c>
      <c r="B98" s="2" t="s">
        <v>190</v>
      </c>
      <c r="C98" s="2" t="s">
        <v>43</v>
      </c>
      <c r="D98" s="6">
        <v>45190</v>
      </c>
    </row>
    <row r="99" spans="1:4" x14ac:dyDescent="0.25">
      <c r="A99" s="2" t="s">
        <v>798</v>
      </c>
      <c r="B99" s="2" t="s">
        <v>232</v>
      </c>
      <c r="C99" s="2" t="s">
        <v>43</v>
      </c>
      <c r="D99" s="6">
        <v>45190</v>
      </c>
    </row>
    <row r="100" spans="1:4" x14ac:dyDescent="0.25">
      <c r="A100" s="2" t="s">
        <v>780</v>
      </c>
      <c r="B100" s="2" t="s">
        <v>297</v>
      </c>
      <c r="C100" s="2" t="s">
        <v>43</v>
      </c>
      <c r="D100" s="6">
        <v>45190</v>
      </c>
    </row>
    <row r="101" spans="1:4" x14ac:dyDescent="0.25">
      <c r="A101" s="2" t="s">
        <v>694</v>
      </c>
      <c r="B101" s="2" t="s">
        <v>343</v>
      </c>
      <c r="C101" s="2" t="s">
        <v>43</v>
      </c>
      <c r="D101" s="6">
        <v>45190</v>
      </c>
    </row>
    <row r="102" spans="1:4" x14ac:dyDescent="0.25">
      <c r="A102" s="2" t="s">
        <v>753</v>
      </c>
      <c r="B102" s="2" t="s">
        <v>402</v>
      </c>
      <c r="C102" s="2" t="s">
        <v>43</v>
      </c>
      <c r="D102" s="6">
        <v>45190</v>
      </c>
    </row>
    <row r="103" spans="1:4" x14ac:dyDescent="0.25">
      <c r="A103" s="2" t="s">
        <v>797</v>
      </c>
      <c r="B103" s="2" t="s">
        <v>465</v>
      </c>
      <c r="C103" s="2" t="s">
        <v>43</v>
      </c>
      <c r="D103" s="6">
        <v>45190</v>
      </c>
    </row>
    <row r="104" spans="1:4" x14ac:dyDescent="0.25">
      <c r="A104" s="2" t="s">
        <v>714</v>
      </c>
      <c r="B104" s="2" t="s">
        <v>512</v>
      </c>
      <c r="C104" s="2" t="s">
        <v>43</v>
      </c>
      <c r="D104" s="6">
        <v>45190</v>
      </c>
    </row>
    <row r="105" spans="1:4" x14ac:dyDescent="0.25">
      <c r="A105" s="2" t="s">
        <v>763</v>
      </c>
      <c r="B105" s="2" t="s">
        <v>515</v>
      </c>
      <c r="C105" s="2" t="s">
        <v>43</v>
      </c>
      <c r="D105" s="6">
        <v>45190</v>
      </c>
    </row>
    <row r="106" spans="1:4" x14ac:dyDescent="0.25">
      <c r="A106" s="2" t="s">
        <v>720</v>
      </c>
      <c r="B106" s="2" t="s">
        <v>536</v>
      </c>
      <c r="C106" s="2" t="s">
        <v>43</v>
      </c>
      <c r="D106" s="6">
        <v>45190</v>
      </c>
    </row>
    <row r="107" spans="1:4" x14ac:dyDescent="0.25">
      <c r="A107" s="2" t="s">
        <v>713</v>
      </c>
      <c r="B107" s="2" t="s">
        <v>569</v>
      </c>
      <c r="C107" s="2" t="s">
        <v>43</v>
      </c>
      <c r="D107" s="6">
        <v>45190</v>
      </c>
    </row>
    <row r="108" spans="1:4" x14ac:dyDescent="0.25">
      <c r="A108" s="2" t="s">
        <v>660</v>
      </c>
      <c r="B108" s="2" t="s">
        <v>622</v>
      </c>
      <c r="C108" s="2" t="s">
        <v>43</v>
      </c>
      <c r="D108" s="6">
        <v>45190</v>
      </c>
    </row>
    <row r="109" spans="1:4" x14ac:dyDescent="0.25">
      <c r="A109" s="2" t="s">
        <v>661</v>
      </c>
      <c r="B109" s="2" t="s">
        <v>625</v>
      </c>
      <c r="C109" s="2" t="s">
        <v>43</v>
      </c>
      <c r="D109" s="6">
        <v>45190</v>
      </c>
    </row>
    <row r="110" spans="1:4" x14ac:dyDescent="0.25">
      <c r="A110" s="2" t="s">
        <v>858</v>
      </c>
      <c r="B110" s="2" t="s">
        <v>14</v>
      </c>
      <c r="C110" s="2" t="s">
        <v>16</v>
      </c>
      <c r="D110" s="6">
        <v>45190</v>
      </c>
    </row>
    <row r="111" spans="1:4" x14ac:dyDescent="0.25">
      <c r="A111" s="2" t="s">
        <v>850</v>
      </c>
      <c r="B111" s="2" t="s">
        <v>81</v>
      </c>
      <c r="C111" s="2" t="s">
        <v>16</v>
      </c>
      <c r="D111" s="6">
        <v>45190</v>
      </c>
    </row>
    <row r="112" spans="1:4" x14ac:dyDescent="0.25">
      <c r="A112" s="2" t="s">
        <v>701</v>
      </c>
      <c r="B112" s="2" t="s">
        <v>105</v>
      </c>
      <c r="C112" s="2" t="s">
        <v>16</v>
      </c>
      <c r="D112" s="6">
        <v>45190</v>
      </c>
    </row>
    <row r="113" spans="1:4" x14ac:dyDescent="0.25">
      <c r="A113" s="2" t="s">
        <v>649</v>
      </c>
      <c r="B113" s="2" t="s">
        <v>113</v>
      </c>
      <c r="C113" s="2" t="s">
        <v>16</v>
      </c>
      <c r="D113" s="6">
        <v>45190</v>
      </c>
    </row>
    <row r="114" spans="1:4" x14ac:dyDescent="0.25">
      <c r="A114" s="2" t="s">
        <v>829</v>
      </c>
      <c r="B114" s="2" t="s">
        <v>164</v>
      </c>
      <c r="C114" s="2" t="s">
        <v>16</v>
      </c>
      <c r="D114" s="6">
        <v>45190</v>
      </c>
    </row>
    <row r="115" spans="1:4" x14ac:dyDescent="0.25">
      <c r="A115" s="2" t="s">
        <v>803</v>
      </c>
      <c r="B115" s="2" t="s">
        <v>226</v>
      </c>
      <c r="C115" s="2" t="s">
        <v>16</v>
      </c>
      <c r="D115" s="6">
        <v>45190</v>
      </c>
    </row>
    <row r="116" spans="1:4" x14ac:dyDescent="0.25">
      <c r="A116" s="2" t="s">
        <v>787</v>
      </c>
      <c r="B116" s="2" t="s">
        <v>314</v>
      </c>
      <c r="C116" s="2" t="s">
        <v>16</v>
      </c>
      <c r="D116" s="6">
        <v>45190</v>
      </c>
    </row>
    <row r="117" spans="1:4" x14ac:dyDescent="0.25">
      <c r="A117" s="2" t="s">
        <v>768</v>
      </c>
      <c r="B117" s="2" t="s">
        <v>362</v>
      </c>
      <c r="C117" s="2" t="s">
        <v>16</v>
      </c>
      <c r="D117" s="6">
        <v>45190</v>
      </c>
    </row>
    <row r="118" spans="1:4" x14ac:dyDescent="0.25">
      <c r="A118" s="2" t="s">
        <v>757</v>
      </c>
      <c r="B118" s="2" t="s">
        <v>387</v>
      </c>
      <c r="C118" s="2" t="s">
        <v>16</v>
      </c>
      <c r="D118" s="6">
        <v>45190</v>
      </c>
    </row>
    <row r="119" spans="1:4" x14ac:dyDescent="0.25">
      <c r="A119" s="2" t="s">
        <v>754</v>
      </c>
      <c r="B119" s="2" t="s">
        <v>396</v>
      </c>
      <c r="C119" s="2" t="s">
        <v>16</v>
      </c>
      <c r="D119" s="6">
        <v>45190</v>
      </c>
    </row>
    <row r="120" spans="1:4" x14ac:dyDescent="0.25">
      <c r="A120" s="2" t="s">
        <v>748</v>
      </c>
      <c r="B120" s="2" t="s">
        <v>422</v>
      </c>
      <c r="C120" s="2" t="s">
        <v>16</v>
      </c>
      <c r="D120" s="6">
        <v>45190</v>
      </c>
    </row>
    <row r="121" spans="1:4" x14ac:dyDescent="0.25">
      <c r="A121" s="2" t="s">
        <v>741</v>
      </c>
      <c r="B121" s="2" t="s">
        <v>445</v>
      </c>
      <c r="C121" s="2" t="s">
        <v>16</v>
      </c>
      <c r="D121" s="6">
        <v>45190</v>
      </c>
    </row>
    <row r="122" spans="1:4" x14ac:dyDescent="0.25">
      <c r="A122" s="2" t="s">
        <v>728</v>
      </c>
      <c r="B122" s="2" t="s">
        <v>450</v>
      </c>
      <c r="C122" s="2" t="s">
        <v>16</v>
      </c>
      <c r="D122" s="6">
        <v>45190</v>
      </c>
    </row>
    <row r="123" spans="1:4" x14ac:dyDescent="0.25">
      <c r="A123" s="2" t="s">
        <v>722</v>
      </c>
      <c r="B123" s="2" t="s">
        <v>521</v>
      </c>
      <c r="C123" s="2" t="s">
        <v>16</v>
      </c>
      <c r="D123" s="6">
        <v>45190</v>
      </c>
    </row>
    <row r="124" spans="1:4" x14ac:dyDescent="0.25">
      <c r="A124" s="2" t="s">
        <v>709</v>
      </c>
      <c r="B124" s="2" t="s">
        <v>578</v>
      </c>
      <c r="C124" s="2" t="s">
        <v>16</v>
      </c>
      <c r="D124" s="6">
        <v>45190</v>
      </c>
    </row>
    <row r="125" spans="1:4" x14ac:dyDescent="0.25">
      <c r="A125" s="2" t="s">
        <v>855</v>
      </c>
      <c r="B125" s="2" t="s">
        <v>30</v>
      </c>
      <c r="C125" s="2" t="s">
        <v>10</v>
      </c>
      <c r="D125" s="6">
        <v>45190</v>
      </c>
    </row>
    <row r="126" spans="1:4" x14ac:dyDescent="0.25">
      <c r="A126" s="2" t="s">
        <v>808</v>
      </c>
      <c r="B126" s="2" t="s">
        <v>60</v>
      </c>
      <c r="C126" s="2" t="s">
        <v>10</v>
      </c>
      <c r="D126" s="6">
        <v>45190</v>
      </c>
    </row>
    <row r="127" spans="1:4" x14ac:dyDescent="0.25">
      <c r="A127" s="2" t="s">
        <v>812</v>
      </c>
      <c r="B127" s="2" t="s">
        <v>178</v>
      </c>
      <c r="C127" s="2" t="s">
        <v>10</v>
      </c>
      <c r="D127" s="6">
        <v>45190</v>
      </c>
    </row>
    <row r="128" spans="1:4" x14ac:dyDescent="0.25">
      <c r="A128" s="2" t="s">
        <v>817</v>
      </c>
      <c r="B128" s="2" t="s">
        <v>184</v>
      </c>
      <c r="C128" s="2" t="s">
        <v>10</v>
      </c>
      <c r="D128" s="6">
        <v>45190</v>
      </c>
    </row>
    <row r="129" spans="1:4" x14ac:dyDescent="0.25">
      <c r="A129" s="2" t="s">
        <v>796</v>
      </c>
      <c r="B129" s="2" t="s">
        <v>238</v>
      </c>
      <c r="C129" s="2" t="s">
        <v>10</v>
      </c>
      <c r="D129" s="6">
        <v>45190</v>
      </c>
    </row>
    <row r="130" spans="1:4" x14ac:dyDescent="0.25">
      <c r="A130" s="2" t="s">
        <v>861</v>
      </c>
      <c r="B130" s="2" t="s">
        <v>240</v>
      </c>
      <c r="C130" s="2" t="s">
        <v>10</v>
      </c>
      <c r="D130" s="6">
        <v>45190</v>
      </c>
    </row>
    <row r="131" spans="1:4" x14ac:dyDescent="0.25">
      <c r="A131" s="2" t="s">
        <v>717</v>
      </c>
      <c r="B131" s="2" t="s">
        <v>273</v>
      </c>
      <c r="C131" s="2" t="s">
        <v>10</v>
      </c>
      <c r="D131" s="6">
        <v>45190</v>
      </c>
    </row>
    <row r="132" spans="1:4" x14ac:dyDescent="0.25">
      <c r="A132" s="2" t="s">
        <v>801</v>
      </c>
      <c r="B132" s="2" t="s">
        <v>294</v>
      </c>
      <c r="C132" s="2" t="s">
        <v>10</v>
      </c>
      <c r="D132" s="6">
        <v>45190</v>
      </c>
    </row>
    <row r="133" spans="1:4" x14ac:dyDescent="0.25">
      <c r="A133" s="2" t="s">
        <v>737</v>
      </c>
      <c r="B133" s="2" t="s">
        <v>462</v>
      </c>
      <c r="C133" s="2" t="s">
        <v>10</v>
      </c>
      <c r="D133" s="6">
        <v>45190</v>
      </c>
    </row>
    <row r="134" spans="1:4" x14ac:dyDescent="0.25">
      <c r="A134" s="2" t="s">
        <v>688</v>
      </c>
      <c r="B134" s="2" t="s">
        <v>479</v>
      </c>
      <c r="C134" s="2" t="s">
        <v>10</v>
      </c>
      <c r="D134" s="6">
        <v>45190</v>
      </c>
    </row>
    <row r="135" spans="1:4" x14ac:dyDescent="0.25">
      <c r="A135" s="2" t="s">
        <v>686</v>
      </c>
      <c r="B135" s="2" t="s">
        <v>507</v>
      </c>
      <c r="C135" s="2" t="s">
        <v>10</v>
      </c>
      <c r="D135" s="6">
        <v>45190</v>
      </c>
    </row>
    <row r="136" spans="1:4" x14ac:dyDescent="0.25">
      <c r="A136" s="2" t="s">
        <v>664</v>
      </c>
      <c r="B136" s="2" t="s">
        <v>575</v>
      </c>
      <c r="C136" s="2" t="s">
        <v>10</v>
      </c>
      <c r="D136" s="6">
        <v>45190</v>
      </c>
    </row>
    <row r="137" spans="1:4" x14ac:dyDescent="0.25">
      <c r="A137" s="2" t="s">
        <v>703</v>
      </c>
      <c r="B137" s="2" t="s">
        <v>594</v>
      </c>
      <c r="C137" s="2" t="s">
        <v>10</v>
      </c>
      <c r="D137" s="6">
        <v>45190</v>
      </c>
    </row>
    <row r="138" spans="1:4" x14ac:dyDescent="0.25">
      <c r="A138" s="2" t="s">
        <v>711</v>
      </c>
      <c r="B138" s="2" t="s">
        <v>37</v>
      </c>
      <c r="C138" s="2" t="s">
        <v>39</v>
      </c>
      <c r="D138" s="6">
        <v>45190</v>
      </c>
    </row>
    <row r="139" spans="1:4" x14ac:dyDescent="0.25">
      <c r="A139" s="2" t="s">
        <v>860</v>
      </c>
      <c r="B139" s="2" t="s">
        <v>54</v>
      </c>
      <c r="C139" s="2" t="s">
        <v>39</v>
      </c>
      <c r="D139" s="6">
        <v>45190</v>
      </c>
    </row>
    <row r="140" spans="1:4" x14ac:dyDescent="0.25">
      <c r="A140" s="2" t="s">
        <v>836</v>
      </c>
      <c r="B140" s="2" t="s">
        <v>124</v>
      </c>
      <c r="C140" s="2" t="s">
        <v>39</v>
      </c>
      <c r="D140" s="6">
        <v>45190</v>
      </c>
    </row>
    <row r="141" spans="1:4" x14ac:dyDescent="0.25">
      <c r="A141" s="2" t="s">
        <v>834</v>
      </c>
      <c r="B141" s="2" t="s">
        <v>127</v>
      </c>
      <c r="C141" s="2" t="s">
        <v>39</v>
      </c>
      <c r="D141" s="6">
        <v>45190</v>
      </c>
    </row>
    <row r="142" spans="1:4" x14ac:dyDescent="0.25">
      <c r="A142" s="2" t="s">
        <v>825</v>
      </c>
      <c r="B142" s="2" t="s">
        <v>149</v>
      </c>
      <c r="C142" s="2" t="s">
        <v>39</v>
      </c>
      <c r="D142" s="6">
        <v>45190</v>
      </c>
    </row>
    <row r="143" spans="1:4" x14ac:dyDescent="0.25">
      <c r="A143" s="2" t="s">
        <v>811</v>
      </c>
      <c r="B143" s="2" t="s">
        <v>205</v>
      </c>
      <c r="C143" s="2" t="s">
        <v>39</v>
      </c>
      <c r="D143" s="6">
        <v>45190</v>
      </c>
    </row>
    <row r="144" spans="1:4" x14ac:dyDescent="0.25">
      <c r="A144" s="2" t="s">
        <v>805</v>
      </c>
      <c r="B144" s="2" t="s">
        <v>220</v>
      </c>
      <c r="C144" s="2" t="s">
        <v>39</v>
      </c>
      <c r="D144" s="6">
        <v>45190</v>
      </c>
    </row>
    <row r="145" spans="1:4" x14ac:dyDescent="0.25">
      <c r="A145" s="2" t="s">
        <v>789</v>
      </c>
      <c r="B145" s="2" t="s">
        <v>260</v>
      </c>
      <c r="C145" s="2" t="s">
        <v>39</v>
      </c>
      <c r="D145" s="6">
        <v>45190</v>
      </c>
    </row>
    <row r="146" spans="1:4" x14ac:dyDescent="0.25">
      <c r="A146" s="2" t="s">
        <v>826</v>
      </c>
      <c r="B146" s="2" t="s">
        <v>282</v>
      </c>
      <c r="C146" s="2" t="s">
        <v>39</v>
      </c>
      <c r="D146" s="6">
        <v>45190</v>
      </c>
    </row>
    <row r="147" spans="1:4" x14ac:dyDescent="0.25">
      <c r="A147" s="2" t="s">
        <v>813</v>
      </c>
      <c r="B147" s="2" t="s">
        <v>288</v>
      </c>
      <c r="C147" s="2" t="s">
        <v>39</v>
      </c>
      <c r="D147" s="6">
        <v>45190</v>
      </c>
    </row>
    <row r="148" spans="1:4" x14ac:dyDescent="0.25">
      <c r="A148" s="2" t="s">
        <v>786</v>
      </c>
      <c r="B148" s="2" t="s">
        <v>327</v>
      </c>
      <c r="C148" s="2" t="s">
        <v>39</v>
      </c>
      <c r="D148" s="6">
        <v>45190</v>
      </c>
    </row>
    <row r="149" spans="1:4" x14ac:dyDescent="0.25">
      <c r="A149" s="2" t="s">
        <v>761</v>
      </c>
      <c r="B149" s="2" t="s">
        <v>337</v>
      </c>
      <c r="C149" s="2" t="s">
        <v>39</v>
      </c>
      <c r="D149" s="6">
        <v>45190</v>
      </c>
    </row>
    <row r="150" spans="1:4" x14ac:dyDescent="0.25">
      <c r="A150" s="2" t="s">
        <v>704</v>
      </c>
      <c r="B150" s="2" t="s">
        <v>346</v>
      </c>
      <c r="C150" s="2" t="s">
        <v>39</v>
      </c>
      <c r="D150" s="6">
        <v>45190</v>
      </c>
    </row>
    <row r="151" spans="1:4" x14ac:dyDescent="0.25">
      <c r="A151" s="2" t="s">
        <v>770</v>
      </c>
      <c r="B151" s="2" t="s">
        <v>349</v>
      </c>
      <c r="C151" s="2" t="s">
        <v>39</v>
      </c>
      <c r="D151" s="6">
        <v>45190</v>
      </c>
    </row>
    <row r="152" spans="1:4" x14ac:dyDescent="0.25">
      <c r="A152" s="2" t="s">
        <v>756</v>
      </c>
      <c r="B152" s="2" t="s">
        <v>393</v>
      </c>
      <c r="C152" s="2" t="s">
        <v>39</v>
      </c>
      <c r="D152" s="6">
        <v>45190</v>
      </c>
    </row>
    <row r="153" spans="1:4" x14ac:dyDescent="0.25">
      <c r="A153" s="2" t="s">
        <v>746</v>
      </c>
      <c r="B153" s="2" t="s">
        <v>436</v>
      </c>
      <c r="C153" s="2" t="s">
        <v>39</v>
      </c>
      <c r="D153" s="6">
        <v>45190</v>
      </c>
    </row>
    <row r="154" spans="1:4" x14ac:dyDescent="0.25">
      <c r="A154" s="2" t="s">
        <v>750</v>
      </c>
      <c r="B154" s="2" t="s">
        <v>496</v>
      </c>
      <c r="C154" s="2" t="s">
        <v>39</v>
      </c>
      <c r="D154" s="6">
        <v>45190</v>
      </c>
    </row>
    <row r="155" spans="1:4" x14ac:dyDescent="0.25">
      <c r="A155" s="2" t="s">
        <v>742</v>
      </c>
      <c r="B155" s="2" t="s">
        <v>564</v>
      </c>
      <c r="C155" s="2" t="s">
        <v>39</v>
      </c>
      <c r="D155" s="6">
        <v>45190</v>
      </c>
    </row>
    <row r="156" spans="1:4" x14ac:dyDescent="0.25">
      <c r="A156" s="2" t="s">
        <v>653</v>
      </c>
      <c r="B156" s="2" t="s">
        <v>612</v>
      </c>
      <c r="C156" s="2" t="s">
        <v>39</v>
      </c>
      <c r="D156" s="6">
        <v>45190</v>
      </c>
    </row>
    <row r="157" spans="1:4" x14ac:dyDescent="0.25">
      <c r="A157" s="2" t="s">
        <v>854</v>
      </c>
      <c r="B157" s="2" t="s">
        <v>46</v>
      </c>
      <c r="C157" s="2" t="s">
        <v>43</v>
      </c>
      <c r="D157" s="6">
        <v>45187</v>
      </c>
    </row>
    <row r="158" spans="1:4" x14ac:dyDescent="0.25">
      <c r="A158" s="2" t="s">
        <v>738</v>
      </c>
      <c r="B158" s="2" t="s">
        <v>122</v>
      </c>
      <c r="C158" s="2" t="s">
        <v>43</v>
      </c>
      <c r="D158" s="6">
        <v>45187</v>
      </c>
    </row>
    <row r="159" spans="1:4" x14ac:dyDescent="0.25">
      <c r="A159" s="2" t="s">
        <v>738</v>
      </c>
      <c r="B159" s="2" t="s">
        <v>122</v>
      </c>
      <c r="C159" s="2" t="s">
        <v>43</v>
      </c>
      <c r="D159" s="6">
        <v>45187</v>
      </c>
    </row>
    <row r="160" spans="1:4" x14ac:dyDescent="0.25">
      <c r="A160" s="2" t="s">
        <v>694</v>
      </c>
      <c r="B160" s="2" t="s">
        <v>343</v>
      </c>
      <c r="C160" s="2" t="s">
        <v>43</v>
      </c>
      <c r="D160" s="6">
        <v>45187</v>
      </c>
    </row>
    <row r="161" spans="1:4" x14ac:dyDescent="0.25">
      <c r="A161" s="2" t="s">
        <v>694</v>
      </c>
      <c r="B161" s="2" t="s">
        <v>343</v>
      </c>
      <c r="C161" s="2" t="s">
        <v>43</v>
      </c>
      <c r="D161" s="6">
        <v>45187</v>
      </c>
    </row>
    <row r="162" spans="1:4" x14ac:dyDescent="0.25">
      <c r="A162" s="2" t="s">
        <v>714</v>
      </c>
      <c r="B162" s="2" t="s">
        <v>512</v>
      </c>
      <c r="C162" s="2" t="s">
        <v>43</v>
      </c>
      <c r="D162" s="6">
        <v>45187</v>
      </c>
    </row>
    <row r="163" spans="1:4" x14ac:dyDescent="0.25">
      <c r="A163" s="2" t="s">
        <v>714</v>
      </c>
      <c r="B163" s="2" t="s">
        <v>512</v>
      </c>
      <c r="C163" s="2" t="s">
        <v>43</v>
      </c>
      <c r="D163" s="6">
        <v>45187</v>
      </c>
    </row>
    <row r="164" spans="1:4" x14ac:dyDescent="0.25">
      <c r="A164" s="2" t="s">
        <v>676</v>
      </c>
      <c r="B164" s="2" t="s">
        <v>365</v>
      </c>
      <c r="C164" s="2" t="s">
        <v>43</v>
      </c>
      <c r="D164" s="6">
        <v>45187</v>
      </c>
    </row>
    <row r="165" spans="1:4" x14ac:dyDescent="0.25">
      <c r="A165" s="2" t="s">
        <v>676</v>
      </c>
      <c r="B165" s="2" t="s">
        <v>365</v>
      </c>
      <c r="C165" s="2" t="s">
        <v>43</v>
      </c>
      <c r="D165" s="6">
        <v>45187</v>
      </c>
    </row>
    <row r="166" spans="1:4" x14ac:dyDescent="0.25">
      <c r="A166" s="2" t="s">
        <v>841</v>
      </c>
      <c r="B166" s="2" t="s">
        <v>181</v>
      </c>
      <c r="C166" s="2" t="s">
        <v>16</v>
      </c>
      <c r="D166" s="6">
        <v>45187</v>
      </c>
    </row>
    <row r="167" spans="1:4" x14ac:dyDescent="0.25">
      <c r="A167" s="2" t="s">
        <v>841</v>
      </c>
      <c r="B167" s="2" t="s">
        <v>181</v>
      </c>
      <c r="C167" s="2" t="s">
        <v>16</v>
      </c>
      <c r="D167" s="6">
        <v>45187</v>
      </c>
    </row>
    <row r="168" spans="1:4" x14ac:dyDescent="0.25">
      <c r="A168" s="2" t="s">
        <v>739</v>
      </c>
      <c r="B168" s="2" t="s">
        <v>456</v>
      </c>
      <c r="C168" s="2" t="s">
        <v>16</v>
      </c>
      <c r="D168" s="6">
        <v>45187</v>
      </c>
    </row>
    <row r="169" spans="1:4" x14ac:dyDescent="0.25">
      <c r="A169" s="2" t="s">
        <v>669</v>
      </c>
      <c r="B169" s="2" t="s">
        <v>628</v>
      </c>
      <c r="C169" s="2" t="s">
        <v>16</v>
      </c>
      <c r="D169" s="6">
        <v>45187</v>
      </c>
    </row>
    <row r="170" spans="1:4" x14ac:dyDescent="0.25">
      <c r="A170" s="2" t="s">
        <v>818</v>
      </c>
      <c r="B170" s="2" t="s">
        <v>453</v>
      </c>
      <c r="C170" s="2" t="s">
        <v>10</v>
      </c>
      <c r="D170" s="6">
        <v>45187</v>
      </c>
    </row>
    <row r="171" spans="1:4" x14ac:dyDescent="0.25">
      <c r="A171" s="2" t="s">
        <v>706</v>
      </c>
      <c r="B171" s="2" t="s">
        <v>572</v>
      </c>
      <c r="C171" s="2" t="s">
        <v>10</v>
      </c>
      <c r="D171" s="6">
        <v>45187</v>
      </c>
    </row>
    <row r="172" spans="1:4" x14ac:dyDescent="0.25">
      <c r="A172" s="2" t="s">
        <v>706</v>
      </c>
      <c r="B172" s="2" t="s">
        <v>572</v>
      </c>
      <c r="C172" s="2" t="s">
        <v>10</v>
      </c>
      <c r="D172" s="6">
        <v>45187</v>
      </c>
    </row>
    <row r="173" spans="1:4" x14ac:dyDescent="0.25">
      <c r="A173" s="2" t="s">
        <v>791</v>
      </c>
      <c r="B173" s="2" t="s">
        <v>257</v>
      </c>
      <c r="C173" s="2" t="s">
        <v>10</v>
      </c>
      <c r="D173" s="6">
        <v>45187</v>
      </c>
    </row>
    <row r="174" spans="1:4" x14ac:dyDescent="0.25">
      <c r="A174" s="2" t="s">
        <v>693</v>
      </c>
      <c r="B174" s="2" t="s">
        <v>50</v>
      </c>
      <c r="C174" s="2" t="s">
        <v>39</v>
      </c>
      <c r="D174" s="6">
        <v>45187</v>
      </c>
    </row>
    <row r="175" spans="1:4" x14ac:dyDescent="0.25">
      <c r="A175" s="2" t="s">
        <v>681</v>
      </c>
      <c r="B175" s="2" t="s">
        <v>235</v>
      </c>
      <c r="C175" s="2" t="s">
        <v>39</v>
      </c>
      <c r="D175" s="6">
        <v>45187</v>
      </c>
    </row>
    <row r="176" spans="1:4" x14ac:dyDescent="0.25">
      <c r="A176" s="2" t="s">
        <v>681</v>
      </c>
      <c r="B176" s="2" t="s">
        <v>235</v>
      </c>
      <c r="C176" s="2" t="s">
        <v>39</v>
      </c>
      <c r="D176" s="6">
        <v>45187</v>
      </c>
    </row>
    <row r="177" spans="1:4" x14ac:dyDescent="0.25">
      <c r="A177" s="2" t="s">
        <v>813</v>
      </c>
      <c r="B177" s="2" t="s">
        <v>288</v>
      </c>
      <c r="C177" s="2" t="s">
        <v>39</v>
      </c>
      <c r="D177" s="6">
        <v>45187</v>
      </c>
    </row>
    <row r="178" spans="1:4" x14ac:dyDescent="0.25">
      <c r="A178" s="2" t="s">
        <v>813</v>
      </c>
      <c r="B178" s="2" t="s">
        <v>288</v>
      </c>
      <c r="C178" s="2" t="s">
        <v>39</v>
      </c>
      <c r="D178" s="6">
        <v>45187</v>
      </c>
    </row>
    <row r="179" spans="1:4" x14ac:dyDescent="0.25">
      <c r="A179" s="2" t="s">
        <v>756</v>
      </c>
      <c r="B179" s="2" t="s">
        <v>393</v>
      </c>
      <c r="C179" s="2" t="s">
        <v>39</v>
      </c>
      <c r="D179" s="6">
        <v>45187</v>
      </c>
    </row>
    <row r="180" spans="1:4" x14ac:dyDescent="0.25">
      <c r="A180" s="2" t="s">
        <v>745</v>
      </c>
      <c r="B180" s="2" t="s">
        <v>399</v>
      </c>
      <c r="C180" s="2" t="s">
        <v>39</v>
      </c>
      <c r="D180" s="6">
        <v>45187</v>
      </c>
    </row>
    <row r="181" spans="1:4" x14ac:dyDescent="0.25">
      <c r="A181" s="2" t="s">
        <v>671</v>
      </c>
      <c r="B181" s="2" t="s">
        <v>631</v>
      </c>
      <c r="C181" s="2" t="s">
        <v>39</v>
      </c>
      <c r="D181" s="6">
        <v>45187</v>
      </c>
    </row>
    <row r="182" spans="1:4" x14ac:dyDescent="0.25">
      <c r="A182" s="2" t="s">
        <v>659</v>
      </c>
      <c r="B182" s="2" t="s">
        <v>308</v>
      </c>
      <c r="C182" s="2" t="s">
        <v>10</v>
      </c>
      <c r="D182" s="6">
        <v>45185</v>
      </c>
    </row>
    <row r="183" spans="1:4" x14ac:dyDescent="0.25">
      <c r="A183" s="2" t="s">
        <v>659</v>
      </c>
      <c r="B183" s="2" t="s">
        <v>308</v>
      </c>
      <c r="C183" s="2" t="s">
        <v>10</v>
      </c>
      <c r="D183" s="6">
        <v>45185</v>
      </c>
    </row>
    <row r="184" spans="1:4" x14ac:dyDescent="0.25">
      <c r="A184" s="2" t="s">
        <v>705</v>
      </c>
      <c r="B184" s="2" t="s">
        <v>591</v>
      </c>
      <c r="C184" s="2" t="s">
        <v>39</v>
      </c>
      <c r="D184" s="6">
        <v>45184</v>
      </c>
    </row>
    <row r="185" spans="1:4" x14ac:dyDescent="0.25">
      <c r="A185" s="2" t="s">
        <v>835</v>
      </c>
      <c r="B185" s="2" t="s">
        <v>42</v>
      </c>
      <c r="C185" s="2" t="s">
        <v>43</v>
      </c>
      <c r="D185" s="6">
        <v>45183</v>
      </c>
    </row>
    <row r="186" spans="1:4" x14ac:dyDescent="0.25">
      <c r="A186" s="2" t="s">
        <v>675</v>
      </c>
      <c r="B186" s="2" t="s">
        <v>119</v>
      </c>
      <c r="C186" s="2" t="s">
        <v>43</v>
      </c>
      <c r="D186" s="6">
        <v>45183</v>
      </c>
    </row>
    <row r="187" spans="1:4" x14ac:dyDescent="0.25">
      <c r="A187" s="2" t="s">
        <v>738</v>
      </c>
      <c r="B187" s="2" t="s">
        <v>122</v>
      </c>
      <c r="C187" s="2" t="s">
        <v>43</v>
      </c>
      <c r="D187" s="6">
        <v>45183</v>
      </c>
    </row>
    <row r="188" spans="1:4" x14ac:dyDescent="0.25">
      <c r="A188" s="2" t="s">
        <v>819</v>
      </c>
      <c r="B188" s="2" t="s">
        <v>173</v>
      </c>
      <c r="C188" s="2" t="s">
        <v>43</v>
      </c>
      <c r="D188" s="6">
        <v>45183</v>
      </c>
    </row>
    <row r="189" spans="1:4" x14ac:dyDescent="0.25">
      <c r="A189" s="2" t="s">
        <v>740</v>
      </c>
      <c r="B189" s="2" t="s">
        <v>190</v>
      </c>
      <c r="C189" s="2" t="s">
        <v>43</v>
      </c>
      <c r="D189" s="6">
        <v>45183</v>
      </c>
    </row>
    <row r="190" spans="1:4" x14ac:dyDescent="0.25">
      <c r="A190" s="2" t="s">
        <v>798</v>
      </c>
      <c r="B190" s="2" t="s">
        <v>232</v>
      </c>
      <c r="C190" s="2" t="s">
        <v>43</v>
      </c>
      <c r="D190" s="6">
        <v>45183</v>
      </c>
    </row>
    <row r="191" spans="1:4" x14ac:dyDescent="0.25">
      <c r="A191" s="2" t="s">
        <v>798</v>
      </c>
      <c r="B191" s="2" t="s">
        <v>232</v>
      </c>
      <c r="C191" s="2" t="s">
        <v>43</v>
      </c>
      <c r="D191" s="6">
        <v>45183</v>
      </c>
    </row>
    <row r="192" spans="1:4" x14ac:dyDescent="0.25">
      <c r="A192" s="2" t="s">
        <v>780</v>
      </c>
      <c r="B192" s="2" t="s">
        <v>297</v>
      </c>
      <c r="C192" s="2" t="s">
        <v>43</v>
      </c>
      <c r="D192" s="6">
        <v>45183</v>
      </c>
    </row>
    <row r="193" spans="1:4" x14ac:dyDescent="0.25">
      <c r="A193" s="2" t="s">
        <v>694</v>
      </c>
      <c r="B193" s="2" t="s">
        <v>343</v>
      </c>
      <c r="C193" s="2" t="s">
        <v>43</v>
      </c>
      <c r="D193" s="6">
        <v>45183</v>
      </c>
    </row>
    <row r="194" spans="1:4" x14ac:dyDescent="0.25">
      <c r="A194" s="2" t="s">
        <v>714</v>
      </c>
      <c r="B194" s="2" t="s">
        <v>512</v>
      </c>
      <c r="C194" s="2" t="s">
        <v>43</v>
      </c>
      <c r="D194" s="6">
        <v>45183</v>
      </c>
    </row>
    <row r="195" spans="1:4" x14ac:dyDescent="0.25">
      <c r="A195" s="2" t="s">
        <v>763</v>
      </c>
      <c r="B195" s="2" t="s">
        <v>515</v>
      </c>
      <c r="C195" s="2" t="s">
        <v>43</v>
      </c>
      <c r="D195" s="6">
        <v>45183</v>
      </c>
    </row>
    <row r="196" spans="1:4" x14ac:dyDescent="0.25">
      <c r="A196" s="2" t="s">
        <v>713</v>
      </c>
      <c r="B196" s="2" t="s">
        <v>569</v>
      </c>
      <c r="C196" s="2" t="s">
        <v>43</v>
      </c>
      <c r="D196" s="6">
        <v>45183</v>
      </c>
    </row>
    <row r="197" spans="1:4" x14ac:dyDescent="0.25">
      <c r="A197" s="2" t="s">
        <v>660</v>
      </c>
      <c r="B197" s="2" t="s">
        <v>622</v>
      </c>
      <c r="C197" s="2" t="s">
        <v>43</v>
      </c>
      <c r="D197" s="6">
        <v>45183</v>
      </c>
    </row>
    <row r="198" spans="1:4" x14ac:dyDescent="0.25">
      <c r="A198" s="2" t="s">
        <v>661</v>
      </c>
      <c r="B198" s="2" t="s">
        <v>625</v>
      </c>
      <c r="C198" s="2" t="s">
        <v>43</v>
      </c>
      <c r="D198" s="6">
        <v>45183</v>
      </c>
    </row>
    <row r="199" spans="1:4" x14ac:dyDescent="0.25">
      <c r="A199" s="2" t="s">
        <v>858</v>
      </c>
      <c r="B199" s="2" t="s">
        <v>14</v>
      </c>
      <c r="C199" s="2" t="s">
        <v>16</v>
      </c>
      <c r="D199" s="6">
        <v>45183</v>
      </c>
    </row>
    <row r="200" spans="1:4" x14ac:dyDescent="0.25">
      <c r="A200" s="2" t="s">
        <v>701</v>
      </c>
      <c r="B200" s="2" t="s">
        <v>105</v>
      </c>
      <c r="C200" s="2" t="s">
        <v>16</v>
      </c>
      <c r="D200" s="6">
        <v>45183</v>
      </c>
    </row>
    <row r="201" spans="1:4" x14ac:dyDescent="0.25">
      <c r="A201" s="2" t="s">
        <v>649</v>
      </c>
      <c r="B201" s="2" t="s">
        <v>113</v>
      </c>
      <c r="C201" s="2" t="s">
        <v>16</v>
      </c>
      <c r="D201" s="6">
        <v>45183</v>
      </c>
    </row>
    <row r="202" spans="1:4" x14ac:dyDescent="0.25">
      <c r="A202" s="2" t="s">
        <v>829</v>
      </c>
      <c r="B202" s="2" t="s">
        <v>164</v>
      </c>
      <c r="C202" s="2" t="s">
        <v>16</v>
      </c>
      <c r="D202" s="6">
        <v>45183</v>
      </c>
    </row>
    <row r="203" spans="1:4" x14ac:dyDescent="0.25">
      <c r="A203" s="2" t="s">
        <v>841</v>
      </c>
      <c r="B203" s="2" t="s">
        <v>181</v>
      </c>
      <c r="C203" s="2" t="s">
        <v>16</v>
      </c>
      <c r="D203" s="6">
        <v>45183</v>
      </c>
    </row>
    <row r="204" spans="1:4" x14ac:dyDescent="0.25">
      <c r="A204" s="2" t="s">
        <v>803</v>
      </c>
      <c r="B204" s="2" t="s">
        <v>226</v>
      </c>
      <c r="C204" s="2" t="s">
        <v>16</v>
      </c>
      <c r="D204" s="6">
        <v>45183</v>
      </c>
    </row>
    <row r="205" spans="1:4" x14ac:dyDescent="0.25">
      <c r="A205" s="2" t="s">
        <v>757</v>
      </c>
      <c r="B205" s="2" t="s">
        <v>387</v>
      </c>
      <c r="C205" s="2" t="s">
        <v>16</v>
      </c>
      <c r="D205" s="6">
        <v>45183</v>
      </c>
    </row>
    <row r="206" spans="1:4" x14ac:dyDescent="0.25">
      <c r="A206" s="2" t="s">
        <v>754</v>
      </c>
      <c r="B206" s="2" t="s">
        <v>396</v>
      </c>
      <c r="C206" s="2" t="s">
        <v>16</v>
      </c>
      <c r="D206" s="6">
        <v>45183</v>
      </c>
    </row>
    <row r="207" spans="1:4" x14ac:dyDescent="0.25">
      <c r="A207" s="2" t="s">
        <v>741</v>
      </c>
      <c r="B207" s="2" t="s">
        <v>445</v>
      </c>
      <c r="C207" s="2" t="s">
        <v>16</v>
      </c>
      <c r="D207" s="6">
        <v>45183</v>
      </c>
    </row>
    <row r="208" spans="1:4" x14ac:dyDescent="0.25">
      <c r="A208" s="2" t="s">
        <v>728</v>
      </c>
      <c r="B208" s="2" t="s">
        <v>450</v>
      </c>
      <c r="C208" s="2" t="s">
        <v>16</v>
      </c>
      <c r="D208" s="6">
        <v>45183</v>
      </c>
    </row>
    <row r="209" spans="1:4" x14ac:dyDescent="0.25">
      <c r="A209" s="2" t="s">
        <v>728</v>
      </c>
      <c r="B209" s="2" t="s">
        <v>450</v>
      </c>
      <c r="C209" s="2" t="s">
        <v>16</v>
      </c>
      <c r="D209" s="6">
        <v>45183</v>
      </c>
    </row>
    <row r="210" spans="1:4" x14ac:dyDescent="0.25">
      <c r="A210" s="2" t="s">
        <v>739</v>
      </c>
      <c r="B210" s="2" t="s">
        <v>456</v>
      </c>
      <c r="C210" s="2" t="s">
        <v>16</v>
      </c>
      <c r="D210" s="6">
        <v>45183</v>
      </c>
    </row>
    <row r="211" spans="1:4" x14ac:dyDescent="0.25">
      <c r="A211" s="2" t="s">
        <v>726</v>
      </c>
      <c r="B211" s="2" t="s">
        <v>509</v>
      </c>
      <c r="C211" s="2" t="s">
        <v>16</v>
      </c>
      <c r="D211" s="6">
        <v>45183</v>
      </c>
    </row>
    <row r="212" spans="1:4" x14ac:dyDescent="0.25">
      <c r="A212" s="2" t="s">
        <v>709</v>
      </c>
      <c r="B212" s="2" t="s">
        <v>578</v>
      </c>
      <c r="C212" s="2" t="s">
        <v>16</v>
      </c>
      <c r="D212" s="6">
        <v>45183</v>
      </c>
    </row>
    <row r="213" spans="1:4" x14ac:dyDescent="0.25">
      <c r="A213" s="2" t="s">
        <v>855</v>
      </c>
      <c r="B213" s="2" t="s">
        <v>30</v>
      </c>
      <c r="C213" s="2" t="s">
        <v>10</v>
      </c>
      <c r="D213" s="6">
        <v>45183</v>
      </c>
    </row>
    <row r="214" spans="1:4" x14ac:dyDescent="0.25">
      <c r="A214" s="2" t="s">
        <v>808</v>
      </c>
      <c r="B214" s="2" t="s">
        <v>60</v>
      </c>
      <c r="C214" s="2" t="s">
        <v>10</v>
      </c>
      <c r="D214" s="6">
        <v>45183</v>
      </c>
    </row>
    <row r="215" spans="1:4" x14ac:dyDescent="0.25">
      <c r="A215" s="2" t="s">
        <v>812</v>
      </c>
      <c r="B215" s="2" t="s">
        <v>178</v>
      </c>
      <c r="C215" s="2" t="s">
        <v>10</v>
      </c>
      <c r="D215" s="6">
        <v>45183</v>
      </c>
    </row>
    <row r="216" spans="1:4" x14ac:dyDescent="0.25">
      <c r="A216" s="2" t="s">
        <v>817</v>
      </c>
      <c r="B216" s="2" t="s">
        <v>184</v>
      </c>
      <c r="C216" s="2" t="s">
        <v>10</v>
      </c>
      <c r="D216" s="6">
        <v>45183</v>
      </c>
    </row>
    <row r="217" spans="1:4" x14ac:dyDescent="0.25">
      <c r="A217" s="2" t="s">
        <v>796</v>
      </c>
      <c r="B217" s="2" t="s">
        <v>238</v>
      </c>
      <c r="C217" s="2" t="s">
        <v>10</v>
      </c>
      <c r="D217" s="6">
        <v>45183</v>
      </c>
    </row>
    <row r="218" spans="1:4" x14ac:dyDescent="0.25">
      <c r="A218" s="2" t="s">
        <v>861</v>
      </c>
      <c r="B218" s="2" t="s">
        <v>240</v>
      </c>
      <c r="C218" s="2" t="s">
        <v>10</v>
      </c>
      <c r="D218" s="6">
        <v>45183</v>
      </c>
    </row>
    <row r="219" spans="1:4" x14ac:dyDescent="0.25">
      <c r="A219" s="2" t="s">
        <v>717</v>
      </c>
      <c r="B219" s="2" t="s">
        <v>273</v>
      </c>
      <c r="C219" s="2" t="s">
        <v>10</v>
      </c>
      <c r="D219" s="6">
        <v>45183</v>
      </c>
    </row>
    <row r="220" spans="1:4" x14ac:dyDescent="0.25">
      <c r="A220" s="2" t="s">
        <v>782</v>
      </c>
      <c r="B220" s="2" t="s">
        <v>285</v>
      </c>
      <c r="C220" s="2" t="s">
        <v>10</v>
      </c>
      <c r="D220" s="6">
        <v>45183</v>
      </c>
    </row>
    <row r="221" spans="1:4" x14ac:dyDescent="0.25">
      <c r="A221" s="2" t="s">
        <v>801</v>
      </c>
      <c r="B221" s="2" t="s">
        <v>294</v>
      </c>
      <c r="C221" s="2" t="s">
        <v>10</v>
      </c>
      <c r="D221" s="6">
        <v>45183</v>
      </c>
    </row>
    <row r="222" spans="1:4" x14ac:dyDescent="0.25">
      <c r="A222" s="2" t="s">
        <v>737</v>
      </c>
      <c r="B222" s="2" t="s">
        <v>462</v>
      </c>
      <c r="C222" s="2" t="s">
        <v>10</v>
      </c>
      <c r="D222" s="6">
        <v>45183</v>
      </c>
    </row>
    <row r="223" spans="1:4" x14ac:dyDescent="0.25">
      <c r="A223" s="2" t="s">
        <v>686</v>
      </c>
      <c r="B223" s="2" t="s">
        <v>507</v>
      </c>
      <c r="C223" s="2" t="s">
        <v>10</v>
      </c>
      <c r="D223" s="6">
        <v>45183</v>
      </c>
    </row>
    <row r="224" spans="1:4" x14ac:dyDescent="0.25">
      <c r="A224" s="2" t="s">
        <v>706</v>
      </c>
      <c r="B224" s="2" t="s">
        <v>572</v>
      </c>
      <c r="C224" s="2" t="s">
        <v>10</v>
      </c>
      <c r="D224" s="6">
        <v>45183</v>
      </c>
    </row>
    <row r="225" spans="1:4" x14ac:dyDescent="0.25">
      <c r="A225" s="2" t="s">
        <v>664</v>
      </c>
      <c r="B225" s="2" t="s">
        <v>575</v>
      </c>
      <c r="C225" s="2" t="s">
        <v>10</v>
      </c>
      <c r="D225" s="6">
        <v>45183</v>
      </c>
    </row>
    <row r="226" spans="1:4" x14ac:dyDescent="0.25">
      <c r="A226" s="2" t="s">
        <v>711</v>
      </c>
      <c r="B226" s="2" t="s">
        <v>37</v>
      </c>
      <c r="C226" s="2" t="s">
        <v>39</v>
      </c>
      <c r="D226" s="6">
        <v>45183</v>
      </c>
    </row>
    <row r="227" spans="1:4" x14ac:dyDescent="0.25">
      <c r="A227" s="2" t="s">
        <v>860</v>
      </c>
      <c r="B227" s="2" t="s">
        <v>54</v>
      </c>
      <c r="C227" s="2" t="s">
        <v>39</v>
      </c>
      <c r="D227" s="6">
        <v>45183</v>
      </c>
    </row>
    <row r="228" spans="1:4" x14ac:dyDescent="0.25">
      <c r="A228" s="2" t="s">
        <v>836</v>
      </c>
      <c r="B228" s="2" t="s">
        <v>124</v>
      </c>
      <c r="C228" s="2" t="s">
        <v>39</v>
      </c>
      <c r="D228" s="6">
        <v>45183</v>
      </c>
    </row>
    <row r="229" spans="1:4" x14ac:dyDescent="0.25">
      <c r="A229" s="2" t="s">
        <v>834</v>
      </c>
      <c r="B229" s="2" t="s">
        <v>127</v>
      </c>
      <c r="C229" s="2" t="s">
        <v>39</v>
      </c>
      <c r="D229" s="6">
        <v>45183</v>
      </c>
    </row>
    <row r="230" spans="1:4" x14ac:dyDescent="0.25">
      <c r="A230" s="2" t="s">
        <v>805</v>
      </c>
      <c r="B230" s="2" t="s">
        <v>220</v>
      </c>
      <c r="C230" s="2" t="s">
        <v>39</v>
      </c>
      <c r="D230" s="6">
        <v>45183</v>
      </c>
    </row>
    <row r="231" spans="1:4" x14ac:dyDescent="0.25">
      <c r="A231" s="2" t="s">
        <v>826</v>
      </c>
      <c r="B231" s="2" t="s">
        <v>282</v>
      </c>
      <c r="C231" s="2" t="s">
        <v>39</v>
      </c>
      <c r="D231" s="6">
        <v>45183</v>
      </c>
    </row>
    <row r="232" spans="1:4" x14ac:dyDescent="0.25">
      <c r="A232" s="2" t="s">
        <v>813</v>
      </c>
      <c r="B232" s="2" t="s">
        <v>288</v>
      </c>
      <c r="C232" s="2" t="s">
        <v>39</v>
      </c>
      <c r="D232" s="6">
        <v>45183</v>
      </c>
    </row>
    <row r="233" spans="1:4" x14ac:dyDescent="0.25">
      <c r="A233" s="2" t="s">
        <v>786</v>
      </c>
      <c r="B233" s="2" t="s">
        <v>327</v>
      </c>
      <c r="C233" s="2" t="s">
        <v>39</v>
      </c>
      <c r="D233" s="6">
        <v>45183</v>
      </c>
    </row>
    <row r="234" spans="1:4" x14ac:dyDescent="0.25">
      <c r="A234" s="2" t="s">
        <v>761</v>
      </c>
      <c r="B234" s="2" t="s">
        <v>337</v>
      </c>
      <c r="C234" s="2" t="s">
        <v>39</v>
      </c>
      <c r="D234" s="6">
        <v>45183</v>
      </c>
    </row>
    <row r="235" spans="1:4" x14ac:dyDescent="0.25">
      <c r="A235" s="2" t="s">
        <v>725</v>
      </c>
      <c r="B235" s="2" t="s">
        <v>340</v>
      </c>
      <c r="C235" s="2" t="s">
        <v>39</v>
      </c>
      <c r="D235" s="6">
        <v>45183</v>
      </c>
    </row>
    <row r="236" spans="1:4" x14ac:dyDescent="0.25">
      <c r="A236" s="2" t="s">
        <v>704</v>
      </c>
      <c r="B236" s="2" t="s">
        <v>346</v>
      </c>
      <c r="C236" s="2" t="s">
        <v>39</v>
      </c>
      <c r="D236" s="6">
        <v>45183</v>
      </c>
    </row>
    <row r="237" spans="1:4" x14ac:dyDescent="0.25">
      <c r="A237" s="2" t="s">
        <v>770</v>
      </c>
      <c r="B237" s="2" t="s">
        <v>349</v>
      </c>
      <c r="C237" s="2" t="s">
        <v>39</v>
      </c>
      <c r="D237" s="6">
        <v>45183</v>
      </c>
    </row>
    <row r="238" spans="1:4" x14ac:dyDescent="0.25">
      <c r="A238" s="2" t="s">
        <v>756</v>
      </c>
      <c r="B238" s="2" t="s">
        <v>393</v>
      </c>
      <c r="C238" s="2" t="s">
        <v>39</v>
      </c>
      <c r="D238" s="6">
        <v>45183</v>
      </c>
    </row>
    <row r="239" spans="1:4" x14ac:dyDescent="0.25">
      <c r="A239" s="2" t="s">
        <v>756</v>
      </c>
      <c r="B239" s="2" t="s">
        <v>393</v>
      </c>
      <c r="C239" s="2" t="s">
        <v>39</v>
      </c>
      <c r="D239" s="6">
        <v>45183</v>
      </c>
    </row>
    <row r="240" spans="1:4" x14ac:dyDescent="0.25">
      <c r="A240" s="2" t="s">
        <v>745</v>
      </c>
      <c r="B240" s="2" t="s">
        <v>399</v>
      </c>
      <c r="C240" s="2" t="s">
        <v>39</v>
      </c>
      <c r="D240" s="6">
        <v>45183</v>
      </c>
    </row>
    <row r="241" spans="1:4" x14ac:dyDescent="0.25">
      <c r="A241" s="2" t="s">
        <v>746</v>
      </c>
      <c r="B241" s="2" t="s">
        <v>436</v>
      </c>
      <c r="C241" s="2" t="s">
        <v>39</v>
      </c>
      <c r="D241" s="6">
        <v>45183</v>
      </c>
    </row>
    <row r="242" spans="1:4" x14ac:dyDescent="0.25">
      <c r="A242" s="2" t="s">
        <v>750</v>
      </c>
      <c r="B242" s="2" t="s">
        <v>496</v>
      </c>
      <c r="C242" s="2" t="s">
        <v>39</v>
      </c>
      <c r="D242" s="6">
        <v>45183</v>
      </c>
    </row>
    <row r="243" spans="1:4" x14ac:dyDescent="0.25">
      <c r="A243" s="2" t="s">
        <v>777</v>
      </c>
      <c r="B243" s="2" t="s">
        <v>518</v>
      </c>
      <c r="C243" s="2" t="s">
        <v>39</v>
      </c>
      <c r="D243" s="6">
        <v>45183</v>
      </c>
    </row>
    <row r="244" spans="1:4" x14ac:dyDescent="0.25">
      <c r="A244" s="2" t="s">
        <v>742</v>
      </c>
      <c r="B244" s="2" t="s">
        <v>564</v>
      </c>
      <c r="C244" s="2" t="s">
        <v>39</v>
      </c>
      <c r="D244" s="6">
        <v>45183</v>
      </c>
    </row>
    <row r="245" spans="1:4" x14ac:dyDescent="0.25">
      <c r="A245" s="2" t="s">
        <v>696</v>
      </c>
      <c r="B245" s="2" t="s">
        <v>620</v>
      </c>
      <c r="C245" s="2" t="s">
        <v>39</v>
      </c>
      <c r="D245" s="6">
        <v>45183</v>
      </c>
    </row>
    <row r="246" spans="1:4" x14ac:dyDescent="0.25">
      <c r="A246" s="2" t="s">
        <v>671</v>
      </c>
      <c r="B246" s="2" t="s">
        <v>631</v>
      </c>
      <c r="C246" s="2" t="s">
        <v>39</v>
      </c>
      <c r="D246" s="6">
        <v>45183</v>
      </c>
    </row>
    <row r="247" spans="1:4" x14ac:dyDescent="0.25">
      <c r="A247" s="2" t="s">
        <v>667</v>
      </c>
      <c r="B247" s="2" t="s">
        <v>411</v>
      </c>
      <c r="C247" s="2" t="s">
        <v>43</v>
      </c>
      <c r="D247" s="6">
        <v>45178</v>
      </c>
    </row>
    <row r="248" spans="1:4" x14ac:dyDescent="0.25">
      <c r="A248" s="2" t="s">
        <v>652</v>
      </c>
      <c r="B248" s="2" t="s">
        <v>56</v>
      </c>
      <c r="C248" s="2" t="s">
        <v>43</v>
      </c>
      <c r="D248" s="6">
        <v>45178</v>
      </c>
    </row>
    <row r="249" spans="1:4" x14ac:dyDescent="0.25">
      <c r="A249" s="2" t="s">
        <v>848</v>
      </c>
      <c r="B249" s="2" t="s">
        <v>87</v>
      </c>
      <c r="C249" s="2" t="s">
        <v>16</v>
      </c>
      <c r="D249" s="6">
        <v>45178</v>
      </c>
    </row>
    <row r="250" spans="1:4" x14ac:dyDescent="0.25">
      <c r="A250" s="2" t="s">
        <v>787</v>
      </c>
      <c r="B250" s="2" t="s">
        <v>314</v>
      </c>
      <c r="C250" s="2" t="s">
        <v>16</v>
      </c>
      <c r="D250" s="6">
        <v>45178</v>
      </c>
    </row>
    <row r="251" spans="1:4" x14ac:dyDescent="0.25">
      <c r="A251" s="2" t="s">
        <v>768</v>
      </c>
      <c r="B251" s="2" t="s">
        <v>362</v>
      </c>
      <c r="C251" s="2" t="s">
        <v>16</v>
      </c>
      <c r="D251" s="6">
        <v>45178</v>
      </c>
    </row>
    <row r="252" spans="1:4" x14ac:dyDescent="0.25">
      <c r="A252" s="2" t="s">
        <v>748</v>
      </c>
      <c r="B252" s="2" t="s">
        <v>422</v>
      </c>
      <c r="C252" s="2" t="s">
        <v>16</v>
      </c>
      <c r="D252" s="6">
        <v>45178</v>
      </c>
    </row>
    <row r="253" spans="1:4" x14ac:dyDescent="0.25">
      <c r="A253" s="2" t="s">
        <v>663</v>
      </c>
      <c r="B253" s="2" t="s">
        <v>597</v>
      </c>
      <c r="C253" s="2" t="s">
        <v>16</v>
      </c>
      <c r="D253" s="6">
        <v>45178</v>
      </c>
    </row>
    <row r="254" spans="1:4" x14ac:dyDescent="0.25">
      <c r="A254" s="2" t="s">
        <v>810</v>
      </c>
      <c r="B254" s="2" t="s">
        <v>208</v>
      </c>
      <c r="C254" s="2" t="s">
        <v>10</v>
      </c>
      <c r="D254" s="6">
        <v>45178</v>
      </c>
    </row>
    <row r="255" spans="1:4" x14ac:dyDescent="0.25">
      <c r="A255" s="2" t="s">
        <v>688</v>
      </c>
      <c r="B255" s="2" t="s">
        <v>479</v>
      </c>
      <c r="C255" s="2" t="s">
        <v>10</v>
      </c>
      <c r="D255" s="6">
        <v>45178</v>
      </c>
    </row>
    <row r="256" spans="1:4" x14ac:dyDescent="0.25">
      <c r="A256" s="2" t="s">
        <v>772</v>
      </c>
      <c r="B256" s="2" t="s">
        <v>541</v>
      </c>
      <c r="C256" s="2" t="s">
        <v>10</v>
      </c>
      <c r="D256" s="6">
        <v>45178</v>
      </c>
    </row>
    <row r="257" spans="1:4" x14ac:dyDescent="0.25">
      <c r="A257" s="2" t="s">
        <v>825</v>
      </c>
      <c r="B257" s="2" t="s">
        <v>149</v>
      </c>
      <c r="C257" s="2" t="s">
        <v>39</v>
      </c>
      <c r="D257" s="6">
        <v>45178</v>
      </c>
    </row>
    <row r="258" spans="1:4" x14ac:dyDescent="0.25">
      <c r="A258" s="2" t="s">
        <v>789</v>
      </c>
      <c r="B258" s="2" t="s">
        <v>260</v>
      </c>
      <c r="C258" s="2" t="s">
        <v>39</v>
      </c>
      <c r="D258" s="6">
        <v>45178</v>
      </c>
    </row>
    <row r="259" spans="1:4" x14ac:dyDescent="0.25">
      <c r="A259" s="2" t="s">
        <v>851</v>
      </c>
      <c r="B259" s="2" t="s">
        <v>74</v>
      </c>
      <c r="C259" s="2" t="s">
        <v>43</v>
      </c>
      <c r="D259" s="6">
        <v>45176</v>
      </c>
    </row>
    <row r="260" spans="1:4" x14ac:dyDescent="0.25">
      <c r="A260" s="2" t="s">
        <v>849</v>
      </c>
      <c r="B260" s="2" t="s">
        <v>90</v>
      </c>
      <c r="C260" s="2" t="s">
        <v>43</v>
      </c>
      <c r="D260" s="6">
        <v>45176</v>
      </c>
    </row>
    <row r="261" spans="1:4" x14ac:dyDescent="0.25">
      <c r="A261" s="2" t="s">
        <v>751</v>
      </c>
      <c r="B261" s="2" t="s">
        <v>155</v>
      </c>
      <c r="C261" s="2" t="s">
        <v>43</v>
      </c>
      <c r="D261" s="6">
        <v>45176</v>
      </c>
    </row>
    <row r="262" spans="1:4" x14ac:dyDescent="0.25">
      <c r="A262" s="2" t="s">
        <v>648</v>
      </c>
      <c r="B262" s="2" t="s">
        <v>199</v>
      </c>
      <c r="C262" s="2" t="s">
        <v>43</v>
      </c>
      <c r="D262" s="6">
        <v>45176</v>
      </c>
    </row>
    <row r="263" spans="1:4" x14ac:dyDescent="0.25">
      <c r="A263" s="2" t="s">
        <v>774</v>
      </c>
      <c r="B263" s="2" t="s">
        <v>322</v>
      </c>
      <c r="C263" s="2" t="s">
        <v>43</v>
      </c>
      <c r="D263" s="6">
        <v>45176</v>
      </c>
    </row>
    <row r="264" spans="1:4" x14ac:dyDescent="0.25">
      <c r="A264" s="2" t="s">
        <v>807</v>
      </c>
      <c r="B264" s="2" t="s">
        <v>368</v>
      </c>
      <c r="C264" s="2" t="s">
        <v>43</v>
      </c>
      <c r="D264" s="6">
        <v>45176</v>
      </c>
    </row>
    <row r="265" spans="1:4" x14ac:dyDescent="0.25">
      <c r="A265" s="2" t="s">
        <v>692</v>
      </c>
      <c r="B265" s="2" t="s">
        <v>370</v>
      </c>
      <c r="C265" s="2" t="s">
        <v>43</v>
      </c>
      <c r="D265" s="6">
        <v>45176</v>
      </c>
    </row>
    <row r="266" spans="1:4" x14ac:dyDescent="0.25">
      <c r="A266" s="2" t="s">
        <v>735</v>
      </c>
      <c r="B266" s="2" t="s">
        <v>471</v>
      </c>
      <c r="C266" s="2" t="s">
        <v>43</v>
      </c>
      <c r="D266" s="6">
        <v>45176</v>
      </c>
    </row>
    <row r="267" spans="1:4" x14ac:dyDescent="0.25">
      <c r="A267" s="2" t="s">
        <v>699</v>
      </c>
      <c r="B267" s="2" t="s">
        <v>582</v>
      </c>
      <c r="C267" s="2" t="s">
        <v>43</v>
      </c>
      <c r="D267" s="6">
        <v>45176</v>
      </c>
    </row>
    <row r="268" spans="1:4" x14ac:dyDescent="0.25">
      <c r="A268" s="2" t="s">
        <v>846</v>
      </c>
      <c r="B268" s="2" t="s">
        <v>96</v>
      </c>
      <c r="C268" s="2" t="s">
        <v>16</v>
      </c>
      <c r="D268" s="6">
        <v>45176</v>
      </c>
    </row>
    <row r="269" spans="1:4" x14ac:dyDescent="0.25">
      <c r="A269" s="2" t="s">
        <v>832</v>
      </c>
      <c r="B269" s="2" t="s">
        <v>140</v>
      </c>
      <c r="C269" s="2" t="s">
        <v>16</v>
      </c>
      <c r="D269" s="6">
        <v>45176</v>
      </c>
    </row>
    <row r="270" spans="1:4" x14ac:dyDescent="0.25">
      <c r="A270" s="2" t="s">
        <v>730</v>
      </c>
      <c r="B270" s="2" t="s">
        <v>243</v>
      </c>
      <c r="C270" s="2" t="s">
        <v>16</v>
      </c>
      <c r="D270" s="6">
        <v>45176</v>
      </c>
    </row>
    <row r="271" spans="1:4" x14ac:dyDescent="0.25">
      <c r="A271" s="2" t="s">
        <v>788</v>
      </c>
      <c r="B271" s="2" t="s">
        <v>264</v>
      </c>
      <c r="C271" s="2" t="s">
        <v>16</v>
      </c>
      <c r="D271" s="6">
        <v>45176</v>
      </c>
    </row>
    <row r="272" spans="1:4" x14ac:dyDescent="0.25">
      <c r="A272" s="2" t="s">
        <v>788</v>
      </c>
      <c r="B272" s="2" t="s">
        <v>264</v>
      </c>
      <c r="C272" s="2" t="s">
        <v>16</v>
      </c>
      <c r="D272" s="6">
        <v>45176</v>
      </c>
    </row>
    <row r="273" spans="1:4" x14ac:dyDescent="0.25">
      <c r="A273" s="2" t="s">
        <v>712</v>
      </c>
      <c r="B273" s="2" t="s">
        <v>306</v>
      </c>
      <c r="C273" s="2" t="s">
        <v>16</v>
      </c>
      <c r="D273" s="6">
        <v>45176</v>
      </c>
    </row>
    <row r="274" spans="1:4" x14ac:dyDescent="0.25">
      <c r="A274" s="2" t="s">
        <v>752</v>
      </c>
      <c r="B274" s="2" t="s">
        <v>416</v>
      </c>
      <c r="C274" s="2" t="s">
        <v>16</v>
      </c>
      <c r="D274" s="6">
        <v>45176</v>
      </c>
    </row>
    <row r="275" spans="1:4" x14ac:dyDescent="0.25">
      <c r="A275" s="2" t="s">
        <v>733</v>
      </c>
      <c r="B275" s="2" t="s">
        <v>482</v>
      </c>
      <c r="C275" s="2" t="s">
        <v>16</v>
      </c>
      <c r="D275" s="6">
        <v>45176</v>
      </c>
    </row>
    <row r="276" spans="1:4" x14ac:dyDescent="0.25">
      <c r="A276" s="2" t="s">
        <v>800</v>
      </c>
      <c r="B276" s="2" t="s">
        <v>544</v>
      </c>
      <c r="C276" s="2" t="s">
        <v>16</v>
      </c>
      <c r="D276" s="6">
        <v>45176</v>
      </c>
    </row>
    <row r="277" spans="1:4" x14ac:dyDescent="0.25">
      <c r="A277" s="2" t="s">
        <v>859</v>
      </c>
      <c r="B277" s="2" t="s">
        <v>547</v>
      </c>
      <c r="C277" s="2" t="s">
        <v>16</v>
      </c>
      <c r="D277" s="6">
        <v>45176</v>
      </c>
    </row>
    <row r="278" spans="1:4" x14ac:dyDescent="0.25">
      <c r="A278" s="2" t="s">
        <v>663</v>
      </c>
      <c r="B278" s="2" t="s">
        <v>597</v>
      </c>
      <c r="C278" s="2" t="s">
        <v>16</v>
      </c>
      <c r="D278" s="6">
        <v>45176</v>
      </c>
    </row>
    <row r="279" spans="1:4" x14ac:dyDescent="0.25">
      <c r="A279" s="2" t="s">
        <v>702</v>
      </c>
      <c r="B279" s="2" t="s">
        <v>600</v>
      </c>
      <c r="C279" s="2" t="s">
        <v>16</v>
      </c>
      <c r="D279" s="6">
        <v>45176</v>
      </c>
    </row>
    <row r="280" spans="1:4" x14ac:dyDescent="0.25">
      <c r="A280" s="2" t="s">
        <v>672</v>
      </c>
      <c r="B280" s="2" t="s">
        <v>606</v>
      </c>
      <c r="C280" s="2" t="s">
        <v>16</v>
      </c>
      <c r="D280" s="6">
        <v>45176</v>
      </c>
    </row>
    <row r="281" spans="1:4" x14ac:dyDescent="0.25">
      <c r="A281" s="2" t="s">
        <v>810</v>
      </c>
      <c r="B281" s="2" t="s">
        <v>208</v>
      </c>
      <c r="C281" s="2" t="s">
        <v>10</v>
      </c>
      <c r="D281" s="6">
        <v>45176</v>
      </c>
    </row>
    <row r="282" spans="1:4" x14ac:dyDescent="0.25">
      <c r="A282" s="2" t="s">
        <v>775</v>
      </c>
      <c r="B282" s="2" t="s">
        <v>324</v>
      </c>
      <c r="C282" s="2" t="s">
        <v>10</v>
      </c>
      <c r="D282" s="6">
        <v>45176</v>
      </c>
    </row>
    <row r="283" spans="1:4" x14ac:dyDescent="0.25">
      <c r="A283" s="2" t="s">
        <v>765</v>
      </c>
      <c r="B283" s="2" t="s">
        <v>356</v>
      </c>
      <c r="C283" s="2" t="s">
        <v>10</v>
      </c>
      <c r="D283" s="6">
        <v>45176</v>
      </c>
    </row>
    <row r="284" spans="1:4" x14ac:dyDescent="0.25">
      <c r="A284" s="2" t="s">
        <v>687</v>
      </c>
      <c r="B284" s="2" t="s">
        <v>373</v>
      </c>
      <c r="C284" s="2" t="s">
        <v>10</v>
      </c>
      <c r="D284" s="6">
        <v>45176</v>
      </c>
    </row>
    <row r="285" spans="1:4" x14ac:dyDescent="0.25">
      <c r="A285" s="2" t="s">
        <v>690</v>
      </c>
      <c r="B285" s="2" t="s">
        <v>433</v>
      </c>
      <c r="C285" s="2" t="s">
        <v>10</v>
      </c>
      <c r="D285" s="6">
        <v>45176</v>
      </c>
    </row>
    <row r="286" spans="1:4" x14ac:dyDescent="0.25">
      <c r="A286" s="2" t="s">
        <v>772</v>
      </c>
      <c r="B286" s="2" t="s">
        <v>541</v>
      </c>
      <c r="C286" s="2" t="s">
        <v>10</v>
      </c>
      <c r="D286" s="6">
        <v>45176</v>
      </c>
    </row>
    <row r="287" spans="1:4" x14ac:dyDescent="0.25">
      <c r="A287" s="2" t="s">
        <v>844</v>
      </c>
      <c r="B287" s="2" t="s">
        <v>93</v>
      </c>
      <c r="C287" s="2" t="s">
        <v>39</v>
      </c>
      <c r="D287" s="6">
        <v>45176</v>
      </c>
    </row>
    <row r="288" spans="1:4" x14ac:dyDescent="0.25">
      <c r="A288" s="2" t="s">
        <v>824</v>
      </c>
      <c r="B288" s="2" t="s">
        <v>152</v>
      </c>
      <c r="C288" s="2" t="s">
        <v>39</v>
      </c>
      <c r="D288" s="6">
        <v>45176</v>
      </c>
    </row>
    <row r="289" spans="1:4" x14ac:dyDescent="0.25">
      <c r="A289" s="2" t="s">
        <v>824</v>
      </c>
      <c r="B289" s="2" t="s">
        <v>152</v>
      </c>
      <c r="C289" s="2" t="s">
        <v>39</v>
      </c>
      <c r="D289" s="6">
        <v>45176</v>
      </c>
    </row>
    <row r="290" spans="1:4" x14ac:dyDescent="0.25">
      <c r="A290" s="2" t="s">
        <v>809</v>
      </c>
      <c r="B290" s="2" t="s">
        <v>211</v>
      </c>
      <c r="C290" s="2" t="s">
        <v>39</v>
      </c>
      <c r="D290" s="6">
        <v>45176</v>
      </c>
    </row>
    <row r="291" spans="1:4" x14ac:dyDescent="0.25">
      <c r="A291" s="2" t="s">
        <v>700</v>
      </c>
      <c r="B291" s="2" t="s">
        <v>214</v>
      </c>
      <c r="C291" s="2" t="s">
        <v>39</v>
      </c>
      <c r="D291" s="6">
        <v>45176</v>
      </c>
    </row>
    <row r="292" spans="1:4" x14ac:dyDescent="0.25">
      <c r="A292" s="2" t="s">
        <v>785</v>
      </c>
      <c r="B292" s="2" t="s">
        <v>267</v>
      </c>
      <c r="C292" s="2" t="s">
        <v>39</v>
      </c>
      <c r="D292" s="6">
        <v>45176</v>
      </c>
    </row>
    <row r="293" spans="1:4" x14ac:dyDescent="0.25">
      <c r="A293" s="2" t="s">
        <v>776</v>
      </c>
      <c r="B293" s="2" t="s">
        <v>319</v>
      </c>
      <c r="C293" s="2" t="s">
        <v>39</v>
      </c>
      <c r="D293" s="6">
        <v>45176</v>
      </c>
    </row>
    <row r="294" spans="1:4" x14ac:dyDescent="0.25">
      <c r="A294" s="2" t="s">
        <v>747</v>
      </c>
      <c r="B294" s="2" t="s">
        <v>425</v>
      </c>
      <c r="C294" s="2" t="s">
        <v>39</v>
      </c>
      <c r="D294" s="6">
        <v>45176</v>
      </c>
    </row>
    <row r="295" spans="1:4" x14ac:dyDescent="0.25">
      <c r="A295" s="2" t="s">
        <v>766</v>
      </c>
      <c r="B295" s="2" t="s">
        <v>428</v>
      </c>
      <c r="C295" s="2" t="s">
        <v>39</v>
      </c>
      <c r="D295" s="6">
        <v>45176</v>
      </c>
    </row>
    <row r="296" spans="1:4" x14ac:dyDescent="0.25">
      <c r="A296" s="2" t="s">
        <v>821</v>
      </c>
      <c r="B296" s="2" t="s">
        <v>146</v>
      </c>
      <c r="C296" s="2" t="s">
        <v>43</v>
      </c>
      <c r="D296" s="6">
        <v>45175</v>
      </c>
    </row>
    <row r="297" spans="1:4" x14ac:dyDescent="0.25">
      <c r="A297" s="2" t="s">
        <v>749</v>
      </c>
      <c r="B297" s="2" t="s">
        <v>419</v>
      </c>
      <c r="C297" s="2" t="s">
        <v>43</v>
      </c>
      <c r="D297" s="6">
        <v>45175</v>
      </c>
    </row>
    <row r="298" spans="1:4" x14ac:dyDescent="0.25">
      <c r="A298" s="2" t="s">
        <v>720</v>
      </c>
      <c r="B298" s="2" t="s">
        <v>536</v>
      </c>
      <c r="C298" s="2" t="s">
        <v>43</v>
      </c>
      <c r="D298" s="6">
        <v>45175</v>
      </c>
    </row>
    <row r="299" spans="1:4" x14ac:dyDescent="0.25">
      <c r="A299" s="2" t="s">
        <v>838</v>
      </c>
      <c r="B299" s="2" t="s">
        <v>587</v>
      </c>
      <c r="C299" s="2" t="s">
        <v>43</v>
      </c>
      <c r="D299" s="6">
        <v>45175</v>
      </c>
    </row>
    <row r="300" spans="1:4" x14ac:dyDescent="0.25">
      <c r="A300" s="2" t="s">
        <v>850</v>
      </c>
      <c r="B300" s="2" t="s">
        <v>81</v>
      </c>
      <c r="C300" s="2" t="s">
        <v>16</v>
      </c>
      <c r="D300" s="6">
        <v>45175</v>
      </c>
    </row>
    <row r="301" spans="1:4" x14ac:dyDescent="0.25">
      <c r="A301" s="2" t="s">
        <v>771</v>
      </c>
      <c r="B301" s="2" t="s">
        <v>254</v>
      </c>
      <c r="C301" s="2" t="s">
        <v>16</v>
      </c>
      <c r="D301" s="6">
        <v>45175</v>
      </c>
    </row>
    <row r="302" spans="1:4" x14ac:dyDescent="0.25">
      <c r="A302" s="2" t="s">
        <v>787</v>
      </c>
      <c r="B302" s="2" t="s">
        <v>314</v>
      </c>
      <c r="C302" s="2" t="s">
        <v>16</v>
      </c>
      <c r="D302" s="6">
        <v>45175</v>
      </c>
    </row>
    <row r="303" spans="1:4" x14ac:dyDescent="0.25">
      <c r="A303" s="2" t="s">
        <v>768</v>
      </c>
      <c r="B303" s="2" t="s">
        <v>362</v>
      </c>
      <c r="C303" s="2" t="s">
        <v>16</v>
      </c>
      <c r="D303" s="6">
        <v>45175</v>
      </c>
    </row>
    <row r="304" spans="1:4" x14ac:dyDescent="0.25">
      <c r="A304" s="2" t="s">
        <v>688</v>
      </c>
      <c r="B304" s="2" t="s">
        <v>479</v>
      </c>
      <c r="C304" s="2" t="s">
        <v>10</v>
      </c>
      <c r="D304" s="6">
        <v>45175</v>
      </c>
    </row>
    <row r="305" spans="1:4" x14ac:dyDescent="0.25">
      <c r="A305" s="2" t="s">
        <v>811</v>
      </c>
      <c r="B305" s="2" t="s">
        <v>205</v>
      </c>
      <c r="C305" s="2" t="s">
        <v>39</v>
      </c>
      <c r="D305" s="6">
        <v>45175</v>
      </c>
    </row>
    <row r="306" spans="1:4" x14ac:dyDescent="0.25">
      <c r="A306" s="2" t="s">
        <v>787</v>
      </c>
      <c r="B306" s="2" t="s">
        <v>314</v>
      </c>
      <c r="C306" s="2" t="s">
        <v>16</v>
      </c>
      <c r="D306" s="6">
        <v>45174</v>
      </c>
    </row>
    <row r="307" spans="1:4" x14ac:dyDescent="0.25">
      <c r="A307" s="2" t="s">
        <v>768</v>
      </c>
      <c r="B307" s="2" t="s">
        <v>362</v>
      </c>
      <c r="C307" s="2" t="s">
        <v>16</v>
      </c>
      <c r="D307" s="6">
        <v>45174</v>
      </c>
    </row>
    <row r="308" spans="1:4" x14ac:dyDescent="0.25">
      <c r="A308" s="2" t="s">
        <v>748</v>
      </c>
      <c r="B308" s="2" t="s">
        <v>422</v>
      </c>
      <c r="C308" s="2" t="s">
        <v>16</v>
      </c>
      <c r="D308" s="6">
        <v>45174</v>
      </c>
    </row>
    <row r="309" spans="1:4" x14ac:dyDescent="0.25">
      <c r="A309" s="2" t="s">
        <v>833</v>
      </c>
      <c r="B309" s="2" t="s">
        <v>84</v>
      </c>
      <c r="C309" s="2" t="s">
        <v>10</v>
      </c>
      <c r="D309" s="6">
        <v>45174</v>
      </c>
    </row>
    <row r="310" spans="1:4" x14ac:dyDescent="0.25">
      <c r="A310" s="2" t="s">
        <v>688</v>
      </c>
      <c r="B310" s="2" t="s">
        <v>479</v>
      </c>
      <c r="C310" s="2" t="s">
        <v>10</v>
      </c>
      <c r="D310" s="6">
        <v>45174</v>
      </c>
    </row>
    <row r="311" spans="1:4" x14ac:dyDescent="0.25">
      <c r="A311" s="2" t="s">
        <v>678</v>
      </c>
      <c r="B311" s="2" t="s">
        <v>539</v>
      </c>
      <c r="C311" s="2" t="s">
        <v>10</v>
      </c>
      <c r="D311" s="6">
        <v>45174</v>
      </c>
    </row>
    <row r="312" spans="1:4" x14ac:dyDescent="0.25">
      <c r="A312" s="2" t="s">
        <v>703</v>
      </c>
      <c r="B312" s="2" t="s">
        <v>594</v>
      </c>
      <c r="C312" s="2" t="s">
        <v>10</v>
      </c>
      <c r="D312" s="6">
        <v>45174</v>
      </c>
    </row>
    <row r="313" spans="1:4" x14ac:dyDescent="0.25">
      <c r="A313" s="2" t="s">
        <v>825</v>
      </c>
      <c r="B313" s="2" t="s">
        <v>149</v>
      </c>
      <c r="C313" s="2" t="s">
        <v>39</v>
      </c>
      <c r="D313" s="6">
        <v>45174</v>
      </c>
    </row>
    <row r="314" spans="1:4" x14ac:dyDescent="0.25">
      <c r="A314" s="2" t="s">
        <v>811</v>
      </c>
      <c r="B314" s="2" t="s">
        <v>205</v>
      </c>
      <c r="C314" s="2" t="s">
        <v>39</v>
      </c>
      <c r="D314" s="6">
        <v>45174</v>
      </c>
    </row>
    <row r="315" spans="1:4" x14ac:dyDescent="0.25">
      <c r="A315" s="2" t="s">
        <v>789</v>
      </c>
      <c r="B315" s="2" t="s">
        <v>260</v>
      </c>
      <c r="C315" s="2" t="s">
        <v>39</v>
      </c>
      <c r="D315" s="6">
        <v>45174</v>
      </c>
    </row>
    <row r="316" spans="1:4" x14ac:dyDescent="0.25">
      <c r="A316" s="2" t="s">
        <v>843</v>
      </c>
      <c r="B316" s="2" t="s">
        <v>108</v>
      </c>
      <c r="C316" s="2" t="s">
        <v>43</v>
      </c>
      <c r="D316" s="6">
        <v>45171</v>
      </c>
    </row>
    <row r="317" spans="1:4" x14ac:dyDescent="0.25">
      <c r="A317" s="2" t="s">
        <v>675</v>
      </c>
      <c r="B317" s="2" t="s">
        <v>119</v>
      </c>
      <c r="C317" s="2" t="s">
        <v>43</v>
      </c>
      <c r="D317" s="6">
        <v>45171</v>
      </c>
    </row>
    <row r="318" spans="1:4" x14ac:dyDescent="0.25">
      <c r="A318" s="2" t="s">
        <v>819</v>
      </c>
      <c r="B318" s="2" t="s">
        <v>173</v>
      </c>
      <c r="C318" s="2" t="s">
        <v>43</v>
      </c>
      <c r="D318" s="6">
        <v>45171</v>
      </c>
    </row>
    <row r="319" spans="1:4" x14ac:dyDescent="0.25">
      <c r="A319" s="2" t="s">
        <v>740</v>
      </c>
      <c r="B319" s="2" t="s">
        <v>190</v>
      </c>
      <c r="C319" s="2" t="s">
        <v>43</v>
      </c>
      <c r="D319" s="6">
        <v>45171</v>
      </c>
    </row>
    <row r="320" spans="1:4" x14ac:dyDescent="0.25">
      <c r="A320" s="2" t="s">
        <v>798</v>
      </c>
      <c r="B320" s="2" t="s">
        <v>232</v>
      </c>
      <c r="C320" s="2" t="s">
        <v>43</v>
      </c>
      <c r="D320" s="6">
        <v>45171</v>
      </c>
    </row>
    <row r="321" spans="1:4" x14ac:dyDescent="0.25">
      <c r="A321" s="2" t="s">
        <v>780</v>
      </c>
      <c r="B321" s="2" t="s">
        <v>297</v>
      </c>
      <c r="C321" s="2" t="s">
        <v>43</v>
      </c>
      <c r="D321" s="6">
        <v>45171</v>
      </c>
    </row>
    <row r="322" spans="1:4" x14ac:dyDescent="0.25">
      <c r="A322" s="2" t="s">
        <v>760</v>
      </c>
      <c r="B322" s="2" t="s">
        <v>379</v>
      </c>
      <c r="C322" s="2" t="s">
        <v>43</v>
      </c>
      <c r="D322" s="6">
        <v>45171</v>
      </c>
    </row>
    <row r="323" spans="1:4" x14ac:dyDescent="0.25">
      <c r="A323" s="2" t="s">
        <v>724</v>
      </c>
      <c r="B323" s="2" t="s">
        <v>390</v>
      </c>
      <c r="C323" s="2" t="s">
        <v>43</v>
      </c>
      <c r="D323" s="6">
        <v>45171</v>
      </c>
    </row>
    <row r="324" spans="1:4" x14ac:dyDescent="0.25">
      <c r="A324" s="2" t="s">
        <v>731</v>
      </c>
      <c r="B324" s="2" t="s">
        <v>504</v>
      </c>
      <c r="C324" s="2" t="s">
        <v>43</v>
      </c>
      <c r="D324" s="6">
        <v>45171</v>
      </c>
    </row>
    <row r="325" spans="1:4" x14ac:dyDescent="0.25">
      <c r="A325" s="2" t="s">
        <v>763</v>
      </c>
      <c r="B325" s="2" t="s">
        <v>515</v>
      </c>
      <c r="C325" s="2" t="s">
        <v>43</v>
      </c>
      <c r="D325" s="6">
        <v>45171</v>
      </c>
    </row>
    <row r="326" spans="1:4" x14ac:dyDescent="0.25">
      <c r="A326" s="2" t="s">
        <v>713</v>
      </c>
      <c r="B326" s="2" t="s">
        <v>569</v>
      </c>
      <c r="C326" s="2" t="s">
        <v>43</v>
      </c>
      <c r="D326" s="6">
        <v>45171</v>
      </c>
    </row>
    <row r="327" spans="1:4" x14ac:dyDescent="0.25">
      <c r="A327" s="2" t="s">
        <v>662</v>
      </c>
      <c r="B327" s="2" t="s">
        <v>614</v>
      </c>
      <c r="C327" s="2" t="s">
        <v>43</v>
      </c>
      <c r="D327" s="6">
        <v>45171</v>
      </c>
    </row>
    <row r="328" spans="1:4" x14ac:dyDescent="0.25">
      <c r="A328" s="2" t="s">
        <v>858</v>
      </c>
      <c r="B328" s="2" t="s">
        <v>14</v>
      </c>
      <c r="C328" s="2" t="s">
        <v>16</v>
      </c>
      <c r="D328" s="6">
        <v>45171</v>
      </c>
    </row>
    <row r="329" spans="1:4" x14ac:dyDescent="0.25">
      <c r="A329" s="2" t="s">
        <v>701</v>
      </c>
      <c r="B329" s="2" t="s">
        <v>105</v>
      </c>
      <c r="C329" s="2" t="s">
        <v>16</v>
      </c>
      <c r="D329" s="6">
        <v>45171</v>
      </c>
    </row>
    <row r="330" spans="1:4" x14ac:dyDescent="0.25">
      <c r="A330" s="2" t="s">
        <v>829</v>
      </c>
      <c r="B330" s="2" t="s">
        <v>164</v>
      </c>
      <c r="C330" s="2" t="s">
        <v>16</v>
      </c>
      <c r="D330" s="6">
        <v>45171</v>
      </c>
    </row>
    <row r="331" spans="1:4" x14ac:dyDescent="0.25">
      <c r="A331" s="2" t="s">
        <v>831</v>
      </c>
      <c r="B331" s="2" t="s">
        <v>167</v>
      </c>
      <c r="C331" s="2" t="s">
        <v>16</v>
      </c>
      <c r="D331" s="6">
        <v>45171</v>
      </c>
    </row>
    <row r="332" spans="1:4" x14ac:dyDescent="0.25">
      <c r="A332" s="2" t="s">
        <v>803</v>
      </c>
      <c r="B332" s="2" t="s">
        <v>226</v>
      </c>
      <c r="C332" s="2" t="s">
        <v>16</v>
      </c>
      <c r="D332" s="6">
        <v>45171</v>
      </c>
    </row>
    <row r="333" spans="1:4" x14ac:dyDescent="0.25">
      <c r="A333" s="2" t="s">
        <v>670</v>
      </c>
      <c r="B333" s="2" t="s">
        <v>276</v>
      </c>
      <c r="C333" s="2" t="s">
        <v>16</v>
      </c>
      <c r="D333" s="6">
        <v>45171</v>
      </c>
    </row>
    <row r="334" spans="1:4" x14ac:dyDescent="0.25">
      <c r="A334" s="2" t="s">
        <v>651</v>
      </c>
      <c r="B334" s="2" t="s">
        <v>334</v>
      </c>
      <c r="C334" s="2" t="s">
        <v>16</v>
      </c>
      <c r="D334" s="6">
        <v>45171</v>
      </c>
    </row>
    <row r="335" spans="1:4" x14ac:dyDescent="0.25">
      <c r="A335" s="2" t="s">
        <v>757</v>
      </c>
      <c r="B335" s="2" t="s">
        <v>387</v>
      </c>
      <c r="C335" s="2" t="s">
        <v>16</v>
      </c>
      <c r="D335" s="6">
        <v>45171</v>
      </c>
    </row>
    <row r="336" spans="1:4" x14ac:dyDescent="0.25">
      <c r="A336" s="2" t="s">
        <v>754</v>
      </c>
      <c r="B336" s="2" t="s">
        <v>396</v>
      </c>
      <c r="C336" s="2" t="s">
        <v>16</v>
      </c>
      <c r="D336" s="6">
        <v>45171</v>
      </c>
    </row>
    <row r="337" spans="1:4" x14ac:dyDescent="0.25">
      <c r="A337" s="2" t="s">
        <v>741</v>
      </c>
      <c r="B337" s="2" t="s">
        <v>445</v>
      </c>
      <c r="C337" s="2" t="s">
        <v>16</v>
      </c>
      <c r="D337" s="6">
        <v>45171</v>
      </c>
    </row>
    <row r="338" spans="1:4" x14ac:dyDescent="0.25">
      <c r="A338" s="2" t="s">
        <v>728</v>
      </c>
      <c r="B338" s="2" t="s">
        <v>450</v>
      </c>
      <c r="C338" s="2" t="s">
        <v>16</v>
      </c>
      <c r="D338" s="6">
        <v>45171</v>
      </c>
    </row>
    <row r="339" spans="1:4" x14ac:dyDescent="0.25">
      <c r="A339" s="2" t="s">
        <v>739</v>
      </c>
      <c r="B339" s="2" t="s">
        <v>456</v>
      </c>
      <c r="C339" s="2" t="s">
        <v>16</v>
      </c>
      <c r="D339" s="6">
        <v>45171</v>
      </c>
    </row>
    <row r="340" spans="1:4" x14ac:dyDescent="0.25">
      <c r="A340" s="2" t="s">
        <v>726</v>
      </c>
      <c r="B340" s="2" t="s">
        <v>509</v>
      </c>
      <c r="C340" s="2" t="s">
        <v>16</v>
      </c>
      <c r="D340" s="6">
        <v>45171</v>
      </c>
    </row>
    <row r="341" spans="1:4" x14ac:dyDescent="0.25">
      <c r="A341" s="2" t="s">
        <v>718</v>
      </c>
      <c r="B341" s="2" t="s">
        <v>553</v>
      </c>
      <c r="C341" s="2" t="s">
        <v>16</v>
      </c>
      <c r="D341" s="6">
        <v>45171</v>
      </c>
    </row>
    <row r="342" spans="1:4" x14ac:dyDescent="0.25">
      <c r="A342" s="2" t="s">
        <v>709</v>
      </c>
      <c r="B342" s="2" t="s">
        <v>578</v>
      </c>
      <c r="C342" s="2" t="s">
        <v>16</v>
      </c>
      <c r="D342" s="6">
        <v>45171</v>
      </c>
    </row>
    <row r="343" spans="1:4" x14ac:dyDescent="0.25">
      <c r="A343" s="2" t="s">
        <v>857</v>
      </c>
      <c r="B343" s="2" t="s">
        <v>19</v>
      </c>
      <c r="C343" s="2" t="s">
        <v>10</v>
      </c>
      <c r="D343" s="6">
        <v>45171</v>
      </c>
    </row>
    <row r="344" spans="1:4" x14ac:dyDescent="0.25">
      <c r="A344" s="2" t="s">
        <v>855</v>
      </c>
      <c r="B344" s="2" t="s">
        <v>30</v>
      </c>
      <c r="C344" s="2" t="s">
        <v>10</v>
      </c>
      <c r="D344" s="6">
        <v>45171</v>
      </c>
    </row>
    <row r="345" spans="1:4" x14ac:dyDescent="0.25">
      <c r="A345" s="2" t="s">
        <v>808</v>
      </c>
      <c r="B345" s="2" t="s">
        <v>60</v>
      </c>
      <c r="C345" s="2" t="s">
        <v>10</v>
      </c>
      <c r="D345" s="6">
        <v>45171</v>
      </c>
    </row>
    <row r="346" spans="1:4" x14ac:dyDescent="0.25">
      <c r="A346" s="2" t="s">
        <v>812</v>
      </c>
      <c r="B346" s="2" t="s">
        <v>178</v>
      </c>
      <c r="C346" s="2" t="s">
        <v>10</v>
      </c>
      <c r="D346" s="6">
        <v>45171</v>
      </c>
    </row>
    <row r="347" spans="1:4" x14ac:dyDescent="0.25">
      <c r="A347" s="2" t="s">
        <v>817</v>
      </c>
      <c r="B347" s="2" t="s">
        <v>184</v>
      </c>
      <c r="C347" s="2" t="s">
        <v>10</v>
      </c>
      <c r="D347" s="6">
        <v>45171</v>
      </c>
    </row>
    <row r="348" spans="1:4" x14ac:dyDescent="0.25">
      <c r="A348" s="2" t="s">
        <v>796</v>
      </c>
      <c r="B348" s="2" t="s">
        <v>238</v>
      </c>
      <c r="C348" s="2" t="s">
        <v>10</v>
      </c>
      <c r="D348" s="6">
        <v>45171</v>
      </c>
    </row>
    <row r="349" spans="1:4" x14ac:dyDescent="0.25">
      <c r="A349" s="2" t="s">
        <v>861</v>
      </c>
      <c r="B349" s="2" t="s">
        <v>240</v>
      </c>
      <c r="C349" s="2" t="s">
        <v>10</v>
      </c>
      <c r="D349" s="6">
        <v>45171</v>
      </c>
    </row>
    <row r="350" spans="1:4" x14ac:dyDescent="0.25">
      <c r="A350" s="2" t="s">
        <v>717</v>
      </c>
      <c r="B350" s="2" t="s">
        <v>273</v>
      </c>
      <c r="C350" s="2" t="s">
        <v>10</v>
      </c>
      <c r="D350" s="6">
        <v>45171</v>
      </c>
    </row>
    <row r="351" spans="1:4" x14ac:dyDescent="0.25">
      <c r="A351" s="2" t="s">
        <v>782</v>
      </c>
      <c r="B351" s="2" t="s">
        <v>285</v>
      </c>
      <c r="C351" s="2" t="s">
        <v>10</v>
      </c>
      <c r="D351" s="6">
        <v>45171</v>
      </c>
    </row>
    <row r="352" spans="1:4" x14ac:dyDescent="0.25">
      <c r="A352" s="2" t="s">
        <v>801</v>
      </c>
      <c r="B352" s="2" t="s">
        <v>294</v>
      </c>
      <c r="C352" s="2" t="s">
        <v>10</v>
      </c>
      <c r="D352" s="6">
        <v>45171</v>
      </c>
    </row>
    <row r="353" spans="1:4" x14ac:dyDescent="0.25">
      <c r="A353" s="2" t="s">
        <v>842</v>
      </c>
      <c r="B353" s="2" t="s">
        <v>329</v>
      </c>
      <c r="C353" s="2" t="s">
        <v>10</v>
      </c>
      <c r="D353" s="6">
        <v>45171</v>
      </c>
    </row>
    <row r="354" spans="1:4" x14ac:dyDescent="0.25">
      <c r="A354" s="2" t="s">
        <v>737</v>
      </c>
      <c r="B354" s="2" t="s">
        <v>462</v>
      </c>
      <c r="C354" s="2" t="s">
        <v>10</v>
      </c>
      <c r="D354" s="6">
        <v>45171</v>
      </c>
    </row>
    <row r="355" spans="1:4" x14ac:dyDescent="0.25">
      <c r="A355" s="2" t="s">
        <v>715</v>
      </c>
      <c r="B355" s="2" t="s">
        <v>558</v>
      </c>
      <c r="C355" s="2" t="s">
        <v>10</v>
      </c>
      <c r="D355" s="6">
        <v>45171</v>
      </c>
    </row>
    <row r="356" spans="1:4" x14ac:dyDescent="0.25">
      <c r="A356" s="2" t="s">
        <v>716</v>
      </c>
      <c r="B356" s="2" t="s">
        <v>561</v>
      </c>
      <c r="C356" s="2" t="s">
        <v>10</v>
      </c>
      <c r="D356" s="6">
        <v>45171</v>
      </c>
    </row>
    <row r="357" spans="1:4" x14ac:dyDescent="0.25">
      <c r="A357" s="2" t="s">
        <v>664</v>
      </c>
      <c r="B357" s="2" t="s">
        <v>575</v>
      </c>
      <c r="C357" s="2" t="s">
        <v>10</v>
      </c>
      <c r="D357" s="6">
        <v>45171</v>
      </c>
    </row>
    <row r="358" spans="1:4" x14ac:dyDescent="0.25">
      <c r="A358" s="2" t="s">
        <v>695</v>
      </c>
      <c r="B358" s="2" t="s">
        <v>617</v>
      </c>
      <c r="C358" s="2" t="s">
        <v>10</v>
      </c>
      <c r="D358" s="6">
        <v>45171</v>
      </c>
    </row>
    <row r="359" spans="1:4" x14ac:dyDescent="0.25">
      <c r="A359" s="2" t="s">
        <v>711</v>
      </c>
      <c r="B359" s="2" t="s">
        <v>37</v>
      </c>
      <c r="C359" s="2" t="s">
        <v>39</v>
      </c>
      <c r="D359" s="6">
        <v>45171</v>
      </c>
    </row>
    <row r="360" spans="1:4" x14ac:dyDescent="0.25">
      <c r="A360" s="2" t="s">
        <v>860</v>
      </c>
      <c r="B360" s="2" t="s">
        <v>54</v>
      </c>
      <c r="C360" s="2" t="s">
        <v>39</v>
      </c>
      <c r="D360" s="6">
        <v>45171</v>
      </c>
    </row>
    <row r="361" spans="1:4" x14ac:dyDescent="0.25">
      <c r="A361" s="2" t="s">
        <v>837</v>
      </c>
      <c r="B361" s="2" t="s">
        <v>111</v>
      </c>
      <c r="C361" s="2" t="s">
        <v>39</v>
      </c>
      <c r="D361" s="6">
        <v>45171</v>
      </c>
    </row>
    <row r="362" spans="1:4" x14ac:dyDescent="0.25">
      <c r="A362" s="2" t="s">
        <v>836</v>
      </c>
      <c r="B362" s="2" t="s">
        <v>124</v>
      </c>
      <c r="C362" s="2" t="s">
        <v>39</v>
      </c>
      <c r="D362" s="6">
        <v>45171</v>
      </c>
    </row>
    <row r="363" spans="1:4" x14ac:dyDescent="0.25">
      <c r="A363" s="2" t="s">
        <v>834</v>
      </c>
      <c r="B363" s="2" t="s">
        <v>127</v>
      </c>
      <c r="C363" s="2" t="s">
        <v>39</v>
      </c>
      <c r="D363" s="6">
        <v>45171</v>
      </c>
    </row>
    <row r="364" spans="1:4" x14ac:dyDescent="0.25">
      <c r="A364" s="2" t="s">
        <v>805</v>
      </c>
      <c r="B364" s="2" t="s">
        <v>220</v>
      </c>
      <c r="C364" s="2" t="s">
        <v>39</v>
      </c>
      <c r="D364" s="6">
        <v>45171</v>
      </c>
    </row>
    <row r="365" spans="1:4" x14ac:dyDescent="0.25">
      <c r="A365" s="2" t="s">
        <v>804</v>
      </c>
      <c r="B365" s="2" t="s">
        <v>223</v>
      </c>
      <c r="C365" s="2" t="s">
        <v>39</v>
      </c>
      <c r="D365" s="6">
        <v>45171</v>
      </c>
    </row>
    <row r="366" spans="1:4" x14ac:dyDescent="0.25">
      <c r="A366" s="2" t="s">
        <v>847</v>
      </c>
      <c r="B366" s="2" t="s">
        <v>279</v>
      </c>
      <c r="C366" s="2" t="s">
        <v>39</v>
      </c>
      <c r="D366" s="6">
        <v>45171</v>
      </c>
    </row>
    <row r="367" spans="1:4" x14ac:dyDescent="0.25">
      <c r="A367" s="2" t="s">
        <v>786</v>
      </c>
      <c r="B367" s="2" t="s">
        <v>327</v>
      </c>
      <c r="C367" s="2" t="s">
        <v>39</v>
      </c>
      <c r="D367" s="6">
        <v>45171</v>
      </c>
    </row>
    <row r="368" spans="1:4" x14ac:dyDescent="0.25">
      <c r="A368" s="2" t="s">
        <v>725</v>
      </c>
      <c r="B368" s="2" t="s">
        <v>340</v>
      </c>
      <c r="C368" s="2" t="s">
        <v>39</v>
      </c>
      <c r="D368" s="6">
        <v>45171</v>
      </c>
    </row>
    <row r="369" spans="1:4" x14ac:dyDescent="0.25">
      <c r="A369" s="2" t="s">
        <v>704</v>
      </c>
      <c r="B369" s="2" t="s">
        <v>346</v>
      </c>
      <c r="C369" s="2" t="s">
        <v>39</v>
      </c>
      <c r="D369" s="6">
        <v>45171</v>
      </c>
    </row>
    <row r="370" spans="1:4" x14ac:dyDescent="0.25">
      <c r="A370" s="2" t="s">
        <v>770</v>
      </c>
      <c r="B370" s="2" t="s">
        <v>349</v>
      </c>
      <c r="C370" s="2" t="s">
        <v>39</v>
      </c>
      <c r="D370" s="6">
        <v>45171</v>
      </c>
    </row>
    <row r="371" spans="1:4" x14ac:dyDescent="0.25">
      <c r="A371" s="2" t="s">
        <v>745</v>
      </c>
      <c r="B371" s="2" t="s">
        <v>399</v>
      </c>
      <c r="C371" s="2" t="s">
        <v>39</v>
      </c>
      <c r="D371" s="6">
        <v>45171</v>
      </c>
    </row>
    <row r="372" spans="1:4" x14ac:dyDescent="0.25">
      <c r="A372" s="2" t="s">
        <v>746</v>
      </c>
      <c r="B372" s="2" t="s">
        <v>436</v>
      </c>
      <c r="C372" s="2" t="s">
        <v>39</v>
      </c>
      <c r="D372" s="6">
        <v>45171</v>
      </c>
    </row>
    <row r="373" spans="1:4" x14ac:dyDescent="0.25">
      <c r="A373" s="2" t="s">
        <v>744</v>
      </c>
      <c r="B373" s="2" t="s">
        <v>442</v>
      </c>
      <c r="C373" s="2" t="s">
        <v>39</v>
      </c>
      <c r="D373" s="6">
        <v>45171</v>
      </c>
    </row>
    <row r="374" spans="1:4" x14ac:dyDescent="0.25">
      <c r="A374" s="2" t="s">
        <v>750</v>
      </c>
      <c r="B374" s="2" t="s">
        <v>496</v>
      </c>
      <c r="C374" s="2" t="s">
        <v>39</v>
      </c>
      <c r="D374" s="6">
        <v>45171</v>
      </c>
    </row>
    <row r="375" spans="1:4" x14ac:dyDescent="0.25">
      <c r="A375" s="2" t="s">
        <v>727</v>
      </c>
      <c r="B375" s="2" t="s">
        <v>499</v>
      </c>
      <c r="C375" s="2" t="s">
        <v>39</v>
      </c>
      <c r="D375" s="6">
        <v>45171</v>
      </c>
    </row>
    <row r="376" spans="1:4" x14ac:dyDescent="0.25">
      <c r="A376" s="2" t="s">
        <v>777</v>
      </c>
      <c r="B376" s="2" t="s">
        <v>518</v>
      </c>
      <c r="C376" s="2" t="s">
        <v>39</v>
      </c>
      <c r="D376" s="6">
        <v>45171</v>
      </c>
    </row>
    <row r="377" spans="1:4" x14ac:dyDescent="0.25">
      <c r="A377" s="2" t="s">
        <v>696</v>
      </c>
      <c r="B377" s="2" t="s">
        <v>620</v>
      </c>
      <c r="C377" s="2" t="s">
        <v>39</v>
      </c>
      <c r="D377" s="6">
        <v>45171</v>
      </c>
    </row>
    <row r="378" spans="1:4" x14ac:dyDescent="0.25">
      <c r="A378" s="2" t="s">
        <v>671</v>
      </c>
      <c r="B378" s="2" t="s">
        <v>631</v>
      </c>
      <c r="C378" s="2" t="s">
        <v>39</v>
      </c>
      <c r="D378" s="6">
        <v>45171</v>
      </c>
    </row>
    <row r="379" spans="1:4" x14ac:dyDescent="0.25">
      <c r="A379" s="2" t="s">
        <v>675</v>
      </c>
      <c r="B379" s="2" t="s">
        <v>119</v>
      </c>
      <c r="C379" s="2" t="s">
        <v>43</v>
      </c>
      <c r="D379" s="6">
        <v>45170</v>
      </c>
    </row>
    <row r="380" spans="1:4" x14ac:dyDescent="0.25">
      <c r="A380" s="2" t="s">
        <v>724</v>
      </c>
      <c r="B380" s="2" t="s">
        <v>390</v>
      </c>
      <c r="C380" s="2" t="s">
        <v>43</v>
      </c>
      <c r="D380" s="6">
        <v>45170</v>
      </c>
    </row>
    <row r="381" spans="1:4" x14ac:dyDescent="0.25">
      <c r="A381" s="2" t="s">
        <v>758</v>
      </c>
      <c r="B381" s="2" t="s">
        <v>33</v>
      </c>
      <c r="C381" s="2" t="s">
        <v>16</v>
      </c>
      <c r="D381" s="6">
        <v>45170</v>
      </c>
    </row>
    <row r="382" spans="1:4" x14ac:dyDescent="0.25">
      <c r="A382" s="2" t="s">
        <v>814</v>
      </c>
      <c r="B382" s="2" t="s">
        <v>175</v>
      </c>
      <c r="C382" s="2" t="s">
        <v>16</v>
      </c>
      <c r="D382" s="6">
        <v>45170</v>
      </c>
    </row>
    <row r="383" spans="1:4" x14ac:dyDescent="0.25">
      <c r="A383" s="2" t="s">
        <v>691</v>
      </c>
      <c r="B383" s="2" t="s">
        <v>447</v>
      </c>
      <c r="C383" s="2" t="s">
        <v>16</v>
      </c>
      <c r="D383" s="6">
        <v>45170</v>
      </c>
    </row>
    <row r="384" spans="1:4" x14ac:dyDescent="0.25">
      <c r="A384" s="2" t="s">
        <v>726</v>
      </c>
      <c r="B384" s="2" t="s">
        <v>509</v>
      </c>
      <c r="C384" s="2" t="s">
        <v>16</v>
      </c>
      <c r="D384" s="6">
        <v>45170</v>
      </c>
    </row>
    <row r="385" spans="1:4" x14ac:dyDescent="0.25">
      <c r="A385" s="2" t="s">
        <v>782</v>
      </c>
      <c r="B385" s="2" t="s">
        <v>285</v>
      </c>
      <c r="C385" s="2" t="s">
        <v>10</v>
      </c>
      <c r="D385" s="6">
        <v>45170</v>
      </c>
    </row>
    <row r="386" spans="1:4" x14ac:dyDescent="0.25">
      <c r="A386" s="2" t="s">
        <v>799</v>
      </c>
      <c r="B386" s="2" t="s">
        <v>229</v>
      </c>
      <c r="C386" s="2" t="s">
        <v>39</v>
      </c>
      <c r="D386" s="6">
        <v>45170</v>
      </c>
    </row>
    <row r="387" spans="1:4" x14ac:dyDescent="0.25">
      <c r="A387" s="2" t="s">
        <v>725</v>
      </c>
      <c r="B387" s="2" t="s">
        <v>340</v>
      </c>
      <c r="C387" s="2" t="s">
        <v>39</v>
      </c>
      <c r="D387" s="6">
        <v>45170</v>
      </c>
    </row>
    <row r="388" spans="1:4" x14ac:dyDescent="0.25">
      <c r="A388" s="2" t="s">
        <v>673</v>
      </c>
      <c r="B388" s="2" t="s">
        <v>567</v>
      </c>
      <c r="C388" s="2" t="s">
        <v>39</v>
      </c>
      <c r="D388" s="6">
        <v>45170</v>
      </c>
    </row>
    <row r="389" spans="1:4" x14ac:dyDescent="0.25">
      <c r="A389" s="2" t="s">
        <v>696</v>
      </c>
      <c r="B389" s="2" t="s">
        <v>620</v>
      </c>
      <c r="C389" s="2" t="s">
        <v>39</v>
      </c>
      <c r="D389" s="6">
        <v>45170</v>
      </c>
    </row>
    <row r="390" spans="1:4" x14ac:dyDescent="0.25">
      <c r="A390" s="2" t="s">
        <v>851</v>
      </c>
      <c r="B390" s="2" t="s">
        <v>74</v>
      </c>
      <c r="C390" s="2" t="s">
        <v>43</v>
      </c>
      <c r="D390" s="6">
        <v>45169</v>
      </c>
    </row>
    <row r="391" spans="1:4" x14ac:dyDescent="0.25">
      <c r="A391" s="2" t="s">
        <v>849</v>
      </c>
      <c r="B391" s="2" t="s">
        <v>90</v>
      </c>
      <c r="C391" s="2" t="s">
        <v>43</v>
      </c>
      <c r="D391" s="6">
        <v>45169</v>
      </c>
    </row>
    <row r="392" spans="1:4" x14ac:dyDescent="0.25">
      <c r="A392" s="2" t="s">
        <v>845</v>
      </c>
      <c r="B392" s="2" t="s">
        <v>102</v>
      </c>
      <c r="C392" s="2" t="s">
        <v>43</v>
      </c>
      <c r="D392" s="6">
        <v>45169</v>
      </c>
    </row>
    <row r="393" spans="1:4" x14ac:dyDescent="0.25">
      <c r="A393" s="2" t="s">
        <v>743</v>
      </c>
      <c r="B393" s="2" t="s">
        <v>134</v>
      </c>
      <c r="C393" s="2" t="s">
        <v>43</v>
      </c>
      <c r="D393" s="6">
        <v>45169</v>
      </c>
    </row>
    <row r="394" spans="1:4" x14ac:dyDescent="0.25">
      <c r="A394" s="2" t="s">
        <v>821</v>
      </c>
      <c r="B394" s="2" t="s">
        <v>146</v>
      </c>
      <c r="C394" s="2" t="s">
        <v>43</v>
      </c>
      <c r="D394" s="6">
        <v>45169</v>
      </c>
    </row>
    <row r="395" spans="1:4" x14ac:dyDescent="0.25">
      <c r="A395" s="2" t="s">
        <v>819</v>
      </c>
      <c r="B395" s="2" t="s">
        <v>173</v>
      </c>
      <c r="C395" s="2" t="s">
        <v>43</v>
      </c>
      <c r="D395" s="6">
        <v>45169</v>
      </c>
    </row>
    <row r="396" spans="1:4" x14ac:dyDescent="0.25">
      <c r="A396" s="2" t="s">
        <v>729</v>
      </c>
      <c r="B396" s="2" t="s">
        <v>196</v>
      </c>
      <c r="C396" s="2" t="s">
        <v>43</v>
      </c>
      <c r="D396" s="6">
        <v>45169</v>
      </c>
    </row>
    <row r="397" spans="1:4" x14ac:dyDescent="0.25">
      <c r="A397" s="2" t="s">
        <v>795</v>
      </c>
      <c r="B397" s="2" t="s">
        <v>245</v>
      </c>
      <c r="C397" s="2" t="s">
        <v>43</v>
      </c>
      <c r="D397" s="6">
        <v>45169</v>
      </c>
    </row>
    <row r="398" spans="1:4" x14ac:dyDescent="0.25">
      <c r="A398" s="2" t="s">
        <v>764</v>
      </c>
      <c r="B398" s="2" t="s">
        <v>359</v>
      </c>
      <c r="C398" s="2" t="s">
        <v>43</v>
      </c>
      <c r="D398" s="6">
        <v>45169</v>
      </c>
    </row>
    <row r="399" spans="1:4" x14ac:dyDescent="0.25">
      <c r="A399" s="2" t="s">
        <v>807</v>
      </c>
      <c r="B399" s="2" t="s">
        <v>368</v>
      </c>
      <c r="C399" s="2" t="s">
        <v>43</v>
      </c>
      <c r="D399" s="6">
        <v>45169</v>
      </c>
    </row>
    <row r="400" spans="1:4" x14ac:dyDescent="0.25">
      <c r="A400" s="2" t="s">
        <v>807</v>
      </c>
      <c r="B400" s="2" t="s">
        <v>368</v>
      </c>
      <c r="C400" s="2" t="s">
        <v>43</v>
      </c>
      <c r="D400" s="6">
        <v>45169</v>
      </c>
    </row>
    <row r="401" spans="1:4" x14ac:dyDescent="0.25">
      <c r="A401" s="2" t="s">
        <v>760</v>
      </c>
      <c r="B401" s="2" t="s">
        <v>379</v>
      </c>
      <c r="C401" s="2" t="s">
        <v>43</v>
      </c>
      <c r="D401" s="6">
        <v>45169</v>
      </c>
    </row>
    <row r="402" spans="1:4" x14ac:dyDescent="0.25">
      <c r="A402" s="2" t="s">
        <v>755</v>
      </c>
      <c r="B402" s="2" t="s">
        <v>405</v>
      </c>
      <c r="C402" s="2" t="s">
        <v>43</v>
      </c>
      <c r="D402" s="6">
        <v>45169</v>
      </c>
    </row>
    <row r="403" spans="1:4" x14ac:dyDescent="0.25">
      <c r="A403" s="2" t="s">
        <v>707</v>
      </c>
      <c r="B403" s="2" t="s">
        <v>414</v>
      </c>
      <c r="C403" s="2" t="s">
        <v>43</v>
      </c>
      <c r="D403" s="6">
        <v>45169</v>
      </c>
    </row>
    <row r="404" spans="1:4" x14ac:dyDescent="0.25">
      <c r="A404" s="2" t="s">
        <v>749</v>
      </c>
      <c r="B404" s="2" t="s">
        <v>419</v>
      </c>
      <c r="C404" s="2" t="s">
        <v>43</v>
      </c>
      <c r="D404" s="6">
        <v>45169</v>
      </c>
    </row>
    <row r="405" spans="1:4" x14ac:dyDescent="0.25">
      <c r="A405" s="2" t="s">
        <v>802</v>
      </c>
      <c r="B405" s="2" t="s">
        <v>439</v>
      </c>
      <c r="C405" s="2" t="s">
        <v>43</v>
      </c>
      <c r="D405" s="6">
        <v>45169</v>
      </c>
    </row>
    <row r="406" spans="1:4" x14ac:dyDescent="0.25">
      <c r="A406" s="2" t="s">
        <v>735</v>
      </c>
      <c r="B406" s="2" t="s">
        <v>471</v>
      </c>
      <c r="C406" s="2" t="s">
        <v>43</v>
      </c>
      <c r="D406" s="6">
        <v>45169</v>
      </c>
    </row>
    <row r="407" spans="1:4" x14ac:dyDescent="0.25">
      <c r="A407" s="2" t="s">
        <v>698</v>
      </c>
      <c r="B407" s="2" t="s">
        <v>501</v>
      </c>
      <c r="C407" s="2" t="s">
        <v>43</v>
      </c>
      <c r="D407" s="6">
        <v>45169</v>
      </c>
    </row>
    <row r="408" spans="1:4" x14ac:dyDescent="0.25">
      <c r="A408" s="2" t="s">
        <v>721</v>
      </c>
      <c r="B408" s="2" t="s">
        <v>524</v>
      </c>
      <c r="C408" s="2" t="s">
        <v>43</v>
      </c>
      <c r="D408" s="6">
        <v>45169</v>
      </c>
    </row>
    <row r="409" spans="1:4" x14ac:dyDescent="0.25">
      <c r="A409" s="2" t="s">
        <v>720</v>
      </c>
      <c r="B409" s="2" t="s">
        <v>536</v>
      </c>
      <c r="C409" s="2" t="s">
        <v>43</v>
      </c>
      <c r="D409" s="6">
        <v>45169</v>
      </c>
    </row>
    <row r="410" spans="1:4" x14ac:dyDescent="0.25">
      <c r="A410" s="2" t="s">
        <v>699</v>
      </c>
      <c r="B410" s="2" t="s">
        <v>582</v>
      </c>
      <c r="C410" s="2" t="s">
        <v>43</v>
      </c>
      <c r="D410" s="6">
        <v>45169</v>
      </c>
    </row>
    <row r="411" spans="1:4" x14ac:dyDescent="0.25">
      <c r="A411" s="2" t="s">
        <v>838</v>
      </c>
      <c r="B411" s="2" t="s">
        <v>588</v>
      </c>
      <c r="C411" s="2" t="s">
        <v>43</v>
      </c>
      <c r="D411" s="6">
        <v>45169</v>
      </c>
    </row>
    <row r="412" spans="1:4" x14ac:dyDescent="0.25">
      <c r="A412" s="2" t="s">
        <v>858</v>
      </c>
      <c r="B412" s="2" t="s">
        <v>14</v>
      </c>
      <c r="C412" s="2" t="s">
        <v>16</v>
      </c>
      <c r="D412" s="6">
        <v>45169</v>
      </c>
    </row>
    <row r="413" spans="1:4" x14ac:dyDescent="0.25">
      <c r="A413" s="2" t="s">
        <v>850</v>
      </c>
      <c r="B413" s="2" t="s">
        <v>81</v>
      </c>
      <c r="C413" s="2" t="s">
        <v>16</v>
      </c>
      <c r="D413" s="6">
        <v>45169</v>
      </c>
    </row>
    <row r="414" spans="1:4" x14ac:dyDescent="0.25">
      <c r="A414" s="2" t="s">
        <v>701</v>
      </c>
      <c r="B414" s="2" t="s">
        <v>105</v>
      </c>
      <c r="C414" s="2" t="s">
        <v>16</v>
      </c>
      <c r="D414" s="6">
        <v>45169</v>
      </c>
    </row>
    <row r="415" spans="1:4" x14ac:dyDescent="0.25">
      <c r="A415" s="2" t="s">
        <v>822</v>
      </c>
      <c r="B415" s="2" t="s">
        <v>130</v>
      </c>
      <c r="C415" s="2" t="s">
        <v>16</v>
      </c>
      <c r="D415" s="6">
        <v>45169</v>
      </c>
    </row>
    <row r="416" spans="1:4" x14ac:dyDescent="0.25">
      <c r="A416" s="2" t="s">
        <v>829</v>
      </c>
      <c r="B416" s="2" t="s">
        <v>164</v>
      </c>
      <c r="C416" s="2" t="s">
        <v>16</v>
      </c>
      <c r="D416" s="6">
        <v>45169</v>
      </c>
    </row>
    <row r="417" spans="1:4" x14ac:dyDescent="0.25">
      <c r="A417" s="2" t="s">
        <v>803</v>
      </c>
      <c r="B417" s="2" t="s">
        <v>226</v>
      </c>
      <c r="C417" s="2" t="s">
        <v>16</v>
      </c>
      <c r="D417" s="6">
        <v>45169</v>
      </c>
    </row>
    <row r="418" spans="1:4" x14ac:dyDescent="0.25">
      <c r="A418" s="2" t="s">
        <v>730</v>
      </c>
      <c r="B418" s="2" t="s">
        <v>243</v>
      </c>
      <c r="C418" s="2" t="s">
        <v>16</v>
      </c>
      <c r="D418" s="6">
        <v>45169</v>
      </c>
    </row>
    <row r="419" spans="1:4" x14ac:dyDescent="0.25">
      <c r="A419" s="2" t="s">
        <v>771</v>
      </c>
      <c r="B419" s="2" t="s">
        <v>254</v>
      </c>
      <c r="C419" s="2" t="s">
        <v>16</v>
      </c>
      <c r="D419" s="6">
        <v>45169</v>
      </c>
    </row>
    <row r="420" spans="1:4" x14ac:dyDescent="0.25">
      <c r="A420" s="2" t="s">
        <v>788</v>
      </c>
      <c r="B420" s="2" t="s">
        <v>264</v>
      </c>
      <c r="C420" s="2" t="s">
        <v>16</v>
      </c>
      <c r="D420" s="6">
        <v>45169</v>
      </c>
    </row>
    <row r="421" spans="1:4" x14ac:dyDescent="0.25">
      <c r="A421" s="2" t="s">
        <v>784</v>
      </c>
      <c r="B421" s="2" t="s">
        <v>270</v>
      </c>
      <c r="C421" s="2" t="s">
        <v>16</v>
      </c>
      <c r="D421" s="6">
        <v>45169</v>
      </c>
    </row>
    <row r="422" spans="1:4" x14ac:dyDescent="0.25">
      <c r="A422" s="2" t="s">
        <v>779</v>
      </c>
      <c r="B422" s="2" t="s">
        <v>303</v>
      </c>
      <c r="C422" s="2" t="s">
        <v>16</v>
      </c>
      <c r="D422" s="6">
        <v>45169</v>
      </c>
    </row>
    <row r="423" spans="1:4" x14ac:dyDescent="0.25">
      <c r="A423" s="2" t="s">
        <v>712</v>
      </c>
      <c r="B423" s="2" t="s">
        <v>306</v>
      </c>
      <c r="C423" s="2" t="s">
        <v>16</v>
      </c>
      <c r="D423" s="6">
        <v>45169</v>
      </c>
    </row>
    <row r="424" spans="1:4" x14ac:dyDescent="0.25">
      <c r="A424" s="2" t="s">
        <v>778</v>
      </c>
      <c r="B424" s="2" t="s">
        <v>311</v>
      </c>
      <c r="C424" s="2" t="s">
        <v>16</v>
      </c>
      <c r="D424" s="6">
        <v>45169</v>
      </c>
    </row>
    <row r="425" spans="1:4" x14ac:dyDescent="0.25">
      <c r="A425" s="2" t="s">
        <v>757</v>
      </c>
      <c r="B425" s="2" t="s">
        <v>387</v>
      </c>
      <c r="C425" s="2" t="s">
        <v>16</v>
      </c>
      <c r="D425" s="6">
        <v>45169</v>
      </c>
    </row>
    <row r="426" spans="1:4" x14ac:dyDescent="0.25">
      <c r="A426" s="2" t="s">
        <v>748</v>
      </c>
      <c r="B426" s="2" t="s">
        <v>422</v>
      </c>
      <c r="C426" s="2" t="s">
        <v>16</v>
      </c>
      <c r="D426" s="6">
        <v>45169</v>
      </c>
    </row>
    <row r="427" spans="1:4" x14ac:dyDescent="0.25">
      <c r="A427" s="2" t="s">
        <v>741</v>
      </c>
      <c r="B427" s="2" t="s">
        <v>445</v>
      </c>
      <c r="C427" s="2" t="s">
        <v>16</v>
      </c>
      <c r="D427" s="6">
        <v>45169</v>
      </c>
    </row>
    <row r="428" spans="1:4" x14ac:dyDescent="0.25">
      <c r="A428" s="2" t="s">
        <v>733</v>
      </c>
      <c r="B428" s="2" t="s">
        <v>482</v>
      </c>
      <c r="C428" s="2" t="s">
        <v>16</v>
      </c>
      <c r="D428" s="6">
        <v>45169</v>
      </c>
    </row>
    <row r="429" spans="1:4" x14ac:dyDescent="0.25">
      <c r="A429" s="2" t="s">
        <v>658</v>
      </c>
      <c r="B429" s="2" t="s">
        <v>485</v>
      </c>
      <c r="C429" s="2" t="s">
        <v>16</v>
      </c>
      <c r="D429" s="6">
        <v>45169</v>
      </c>
    </row>
    <row r="430" spans="1:4" x14ac:dyDescent="0.25">
      <c r="A430" s="2" t="s">
        <v>656</v>
      </c>
      <c r="B430" s="2" t="s">
        <v>530</v>
      </c>
      <c r="C430" s="2" t="s">
        <v>16</v>
      </c>
      <c r="D430" s="6">
        <v>45169</v>
      </c>
    </row>
    <row r="431" spans="1:4" x14ac:dyDescent="0.25">
      <c r="A431" s="2" t="s">
        <v>800</v>
      </c>
      <c r="B431" s="2" t="s">
        <v>544</v>
      </c>
      <c r="C431" s="2" t="s">
        <v>16</v>
      </c>
      <c r="D431" s="6">
        <v>45169</v>
      </c>
    </row>
    <row r="432" spans="1:4" x14ac:dyDescent="0.25">
      <c r="A432" s="2" t="s">
        <v>718</v>
      </c>
      <c r="B432" s="2" t="s">
        <v>553</v>
      </c>
      <c r="C432" s="2" t="s">
        <v>16</v>
      </c>
      <c r="D432" s="6">
        <v>45169</v>
      </c>
    </row>
    <row r="433" spans="1:4" x14ac:dyDescent="0.25">
      <c r="A433" s="2" t="s">
        <v>677</v>
      </c>
      <c r="B433" s="2" t="s">
        <v>580</v>
      </c>
      <c r="C433" s="2" t="s">
        <v>16</v>
      </c>
      <c r="D433" s="6">
        <v>45169</v>
      </c>
    </row>
    <row r="434" spans="1:4" x14ac:dyDescent="0.25">
      <c r="A434" s="2" t="s">
        <v>663</v>
      </c>
      <c r="B434" s="2" t="s">
        <v>597</v>
      </c>
      <c r="C434" s="2" t="s">
        <v>16</v>
      </c>
      <c r="D434" s="6">
        <v>45169</v>
      </c>
    </row>
    <row r="435" spans="1:4" x14ac:dyDescent="0.25">
      <c r="A435" s="2" t="s">
        <v>702</v>
      </c>
      <c r="B435" s="2" t="s">
        <v>600</v>
      </c>
      <c r="C435" s="2" t="s">
        <v>16</v>
      </c>
      <c r="D435" s="6">
        <v>45169</v>
      </c>
    </row>
    <row r="436" spans="1:4" x14ac:dyDescent="0.25">
      <c r="A436" s="2" t="s">
        <v>679</v>
      </c>
      <c r="B436" s="2" t="s">
        <v>609</v>
      </c>
      <c r="C436" s="2" t="s">
        <v>16</v>
      </c>
      <c r="D436" s="6">
        <v>45169</v>
      </c>
    </row>
    <row r="437" spans="1:4" x14ac:dyDescent="0.25">
      <c r="A437" s="2" t="s">
        <v>857</v>
      </c>
      <c r="B437" s="2" t="s">
        <v>19</v>
      </c>
      <c r="C437" s="2" t="s">
        <v>10</v>
      </c>
      <c r="D437" s="6">
        <v>45169</v>
      </c>
    </row>
    <row r="438" spans="1:4" x14ac:dyDescent="0.25">
      <c r="A438" s="2" t="s">
        <v>855</v>
      </c>
      <c r="B438" s="2" t="s">
        <v>30</v>
      </c>
      <c r="C438" s="2" t="s">
        <v>10</v>
      </c>
      <c r="D438" s="6">
        <v>45169</v>
      </c>
    </row>
    <row r="439" spans="1:4" x14ac:dyDescent="0.25">
      <c r="A439" s="2" t="s">
        <v>830</v>
      </c>
      <c r="B439" s="2" t="s">
        <v>158</v>
      </c>
      <c r="C439" s="2" t="s">
        <v>10</v>
      </c>
      <c r="D439" s="6">
        <v>45169</v>
      </c>
    </row>
    <row r="440" spans="1:4" x14ac:dyDescent="0.25">
      <c r="A440" s="2" t="s">
        <v>810</v>
      </c>
      <c r="B440" s="2" t="s">
        <v>208</v>
      </c>
      <c r="C440" s="2" t="s">
        <v>10</v>
      </c>
      <c r="D440" s="6">
        <v>45169</v>
      </c>
    </row>
    <row r="441" spans="1:4" x14ac:dyDescent="0.25">
      <c r="A441" s="2" t="s">
        <v>717</v>
      </c>
      <c r="B441" s="2" t="s">
        <v>273</v>
      </c>
      <c r="C441" s="2" t="s">
        <v>10</v>
      </c>
      <c r="D441" s="6">
        <v>45169</v>
      </c>
    </row>
    <row r="442" spans="1:4" x14ac:dyDescent="0.25">
      <c r="A442" s="2" t="s">
        <v>842</v>
      </c>
      <c r="B442" s="2" t="s">
        <v>329</v>
      </c>
      <c r="C442" s="2" t="s">
        <v>10</v>
      </c>
      <c r="D442" s="6">
        <v>45169</v>
      </c>
    </row>
    <row r="443" spans="1:4" x14ac:dyDescent="0.25">
      <c r="A443" s="2" t="s">
        <v>645</v>
      </c>
      <c r="B443" s="2" t="s">
        <v>353</v>
      </c>
      <c r="C443" s="2" t="s">
        <v>10</v>
      </c>
      <c r="D443" s="6">
        <v>45169</v>
      </c>
    </row>
    <row r="444" spans="1:4" x14ac:dyDescent="0.25">
      <c r="A444" s="2" t="s">
        <v>765</v>
      </c>
      <c r="B444" s="2" t="s">
        <v>356</v>
      </c>
      <c r="C444" s="2" t="s">
        <v>10</v>
      </c>
      <c r="D444" s="6">
        <v>45169</v>
      </c>
    </row>
    <row r="445" spans="1:4" x14ac:dyDescent="0.25">
      <c r="A445" s="2" t="s">
        <v>654</v>
      </c>
      <c r="B445" s="2" t="s">
        <v>376</v>
      </c>
      <c r="C445" s="2" t="s">
        <v>10</v>
      </c>
      <c r="D445" s="6">
        <v>45169</v>
      </c>
    </row>
    <row r="446" spans="1:4" x14ac:dyDescent="0.25">
      <c r="A446" s="2" t="s">
        <v>736</v>
      </c>
      <c r="B446" s="2" t="s">
        <v>468</v>
      </c>
      <c r="C446" s="2" t="s">
        <v>10</v>
      </c>
      <c r="D446" s="6">
        <v>45169</v>
      </c>
    </row>
    <row r="447" spans="1:4" x14ac:dyDescent="0.25">
      <c r="A447" s="2" t="s">
        <v>839</v>
      </c>
      <c r="B447" s="2" t="s">
        <v>477</v>
      </c>
      <c r="C447" s="2" t="s">
        <v>10</v>
      </c>
      <c r="D447" s="6">
        <v>45169</v>
      </c>
    </row>
    <row r="448" spans="1:4" x14ac:dyDescent="0.25">
      <c r="A448" s="2" t="s">
        <v>697</v>
      </c>
      <c r="B448" s="2" t="s">
        <v>493</v>
      </c>
      <c r="C448" s="2" t="s">
        <v>10</v>
      </c>
      <c r="D448" s="6">
        <v>45169</v>
      </c>
    </row>
    <row r="449" spans="1:4" x14ac:dyDescent="0.25">
      <c r="A449" s="2" t="s">
        <v>772</v>
      </c>
      <c r="B449" s="2" t="s">
        <v>541</v>
      </c>
      <c r="C449" s="2" t="s">
        <v>10</v>
      </c>
      <c r="D449" s="6">
        <v>45169</v>
      </c>
    </row>
    <row r="450" spans="1:4" x14ac:dyDescent="0.25">
      <c r="A450" s="2" t="s">
        <v>716</v>
      </c>
      <c r="B450" s="2" t="s">
        <v>561</v>
      </c>
      <c r="C450" s="2" t="s">
        <v>10</v>
      </c>
      <c r="D450" s="6">
        <v>45169</v>
      </c>
    </row>
    <row r="451" spans="1:4" x14ac:dyDescent="0.25">
      <c r="A451" s="2" t="s">
        <v>695</v>
      </c>
      <c r="B451" s="2" t="s">
        <v>617</v>
      </c>
      <c r="C451" s="2" t="s">
        <v>10</v>
      </c>
      <c r="D451" s="6">
        <v>45169</v>
      </c>
    </row>
    <row r="452" spans="1:4" x14ac:dyDescent="0.25">
      <c r="A452" s="2" t="s">
        <v>853</v>
      </c>
      <c r="B452" s="2" t="s">
        <v>63</v>
      </c>
      <c r="C452" s="2" t="s">
        <v>39</v>
      </c>
      <c r="D452" s="6">
        <v>45169</v>
      </c>
    </row>
    <row r="453" spans="1:4" x14ac:dyDescent="0.25">
      <c r="A453" s="2" t="s">
        <v>844</v>
      </c>
      <c r="B453" s="2" t="s">
        <v>93</v>
      </c>
      <c r="C453" s="2" t="s">
        <v>39</v>
      </c>
      <c r="D453" s="6">
        <v>45169</v>
      </c>
    </row>
    <row r="454" spans="1:4" x14ac:dyDescent="0.25">
      <c r="A454" s="2" t="s">
        <v>837</v>
      </c>
      <c r="B454" s="2" t="s">
        <v>111</v>
      </c>
      <c r="C454" s="2" t="s">
        <v>39</v>
      </c>
      <c r="D454" s="6">
        <v>45169</v>
      </c>
    </row>
    <row r="455" spans="1:4" x14ac:dyDescent="0.25">
      <c r="A455" s="2" t="s">
        <v>825</v>
      </c>
      <c r="B455" s="2" t="s">
        <v>149</v>
      </c>
      <c r="C455" s="2" t="s">
        <v>39</v>
      </c>
      <c r="D455" s="6">
        <v>45169</v>
      </c>
    </row>
    <row r="456" spans="1:4" x14ac:dyDescent="0.25">
      <c r="A456" s="2" t="s">
        <v>824</v>
      </c>
      <c r="B456" s="2" t="s">
        <v>152</v>
      </c>
      <c r="C456" s="2" t="s">
        <v>39</v>
      </c>
      <c r="D456" s="6">
        <v>45169</v>
      </c>
    </row>
    <row r="457" spans="1:4" x14ac:dyDescent="0.25">
      <c r="A457" s="2" t="s">
        <v>815</v>
      </c>
      <c r="B457" s="2" t="s">
        <v>193</v>
      </c>
      <c r="C457" s="2" t="s">
        <v>39</v>
      </c>
      <c r="D457" s="6">
        <v>45169</v>
      </c>
    </row>
    <row r="458" spans="1:4" x14ac:dyDescent="0.25">
      <c r="A458" s="2" t="s">
        <v>811</v>
      </c>
      <c r="B458" s="2" t="s">
        <v>205</v>
      </c>
      <c r="C458" s="2" t="s">
        <v>39</v>
      </c>
      <c r="D458" s="6">
        <v>45169</v>
      </c>
    </row>
    <row r="459" spans="1:4" x14ac:dyDescent="0.25">
      <c r="A459" s="2" t="s">
        <v>809</v>
      </c>
      <c r="B459" s="2" t="s">
        <v>211</v>
      </c>
      <c r="C459" s="2" t="s">
        <v>39</v>
      </c>
      <c r="D459" s="6">
        <v>45169</v>
      </c>
    </row>
    <row r="460" spans="1:4" x14ac:dyDescent="0.25">
      <c r="A460" s="2" t="s">
        <v>806</v>
      </c>
      <c r="B460" s="2" t="s">
        <v>217</v>
      </c>
      <c r="C460" s="2" t="s">
        <v>39</v>
      </c>
      <c r="D460" s="6">
        <v>45169</v>
      </c>
    </row>
    <row r="461" spans="1:4" x14ac:dyDescent="0.25">
      <c r="A461" s="2" t="s">
        <v>805</v>
      </c>
      <c r="B461" s="2" t="s">
        <v>220</v>
      </c>
      <c r="C461" s="2" t="s">
        <v>39</v>
      </c>
      <c r="D461" s="6">
        <v>45169</v>
      </c>
    </row>
    <row r="462" spans="1:4" x14ac:dyDescent="0.25">
      <c r="A462" s="2" t="s">
        <v>789</v>
      </c>
      <c r="B462" s="2" t="s">
        <v>260</v>
      </c>
      <c r="C462" s="2" t="s">
        <v>39</v>
      </c>
      <c r="D462" s="6">
        <v>45169</v>
      </c>
    </row>
    <row r="463" spans="1:4" x14ac:dyDescent="0.25">
      <c r="A463" s="2" t="s">
        <v>847</v>
      </c>
      <c r="B463" s="2" t="s">
        <v>279</v>
      </c>
      <c r="C463" s="2" t="s">
        <v>39</v>
      </c>
      <c r="D463" s="6">
        <v>45169</v>
      </c>
    </row>
    <row r="464" spans="1:4" x14ac:dyDescent="0.25">
      <c r="A464" s="2" t="s">
        <v>776</v>
      </c>
      <c r="B464" s="2" t="s">
        <v>319</v>
      </c>
      <c r="C464" s="2" t="s">
        <v>39</v>
      </c>
      <c r="D464" s="6">
        <v>45169</v>
      </c>
    </row>
    <row r="465" spans="1:4" x14ac:dyDescent="0.25">
      <c r="A465" s="2" t="s">
        <v>776</v>
      </c>
      <c r="B465" s="2" t="s">
        <v>319</v>
      </c>
      <c r="C465" s="2" t="s">
        <v>39</v>
      </c>
      <c r="D465" s="6">
        <v>45169</v>
      </c>
    </row>
    <row r="466" spans="1:4" x14ac:dyDescent="0.25">
      <c r="A466" s="2" t="s">
        <v>786</v>
      </c>
      <c r="B466" s="2" t="s">
        <v>327</v>
      </c>
      <c r="C466" s="2" t="s">
        <v>39</v>
      </c>
      <c r="D466" s="6">
        <v>45169</v>
      </c>
    </row>
    <row r="467" spans="1:4" x14ac:dyDescent="0.25">
      <c r="A467" s="2" t="s">
        <v>773</v>
      </c>
      <c r="B467" s="2" t="s">
        <v>332</v>
      </c>
      <c r="C467" s="2" t="s">
        <v>39</v>
      </c>
      <c r="D467" s="6">
        <v>45169</v>
      </c>
    </row>
    <row r="468" spans="1:4" x14ac:dyDescent="0.25">
      <c r="A468" s="2" t="s">
        <v>766</v>
      </c>
      <c r="B468" s="2" t="s">
        <v>428</v>
      </c>
      <c r="C468" s="2" t="s">
        <v>39</v>
      </c>
      <c r="D468" s="6">
        <v>45169</v>
      </c>
    </row>
    <row r="469" spans="1:4" x14ac:dyDescent="0.25">
      <c r="A469" s="2" t="s">
        <v>746</v>
      </c>
      <c r="B469" s="2" t="s">
        <v>436</v>
      </c>
      <c r="C469" s="2" t="s">
        <v>39</v>
      </c>
      <c r="D469" s="6">
        <v>45169</v>
      </c>
    </row>
    <row r="470" spans="1:4" x14ac:dyDescent="0.25">
      <c r="A470" s="2" t="s">
        <v>727</v>
      </c>
      <c r="B470" s="2" t="s">
        <v>499</v>
      </c>
      <c r="C470" s="2" t="s">
        <v>39</v>
      </c>
      <c r="D470" s="6">
        <v>45169</v>
      </c>
    </row>
    <row r="471" spans="1:4" x14ac:dyDescent="0.25">
      <c r="A471" s="2" t="s">
        <v>705</v>
      </c>
      <c r="B471" s="2" t="s">
        <v>591</v>
      </c>
      <c r="C471" s="2" t="s">
        <v>39</v>
      </c>
      <c r="D471" s="6">
        <v>45169</v>
      </c>
    </row>
    <row r="472" spans="1:4" x14ac:dyDescent="0.25">
      <c r="A472" s="2" t="s">
        <v>674</v>
      </c>
      <c r="B472" s="2" t="s">
        <v>137</v>
      </c>
      <c r="C472" s="2" t="s">
        <v>43</v>
      </c>
      <c r="D472" s="6">
        <v>45168</v>
      </c>
    </row>
    <row r="473" spans="1:4" x14ac:dyDescent="0.25">
      <c r="A473" s="2" t="s">
        <v>675</v>
      </c>
      <c r="B473" s="2" t="s">
        <v>119</v>
      </c>
      <c r="C473" s="2" t="s">
        <v>43</v>
      </c>
      <c r="D473" s="6">
        <v>45163</v>
      </c>
    </row>
    <row r="474" spans="1:4" x14ac:dyDescent="0.25">
      <c r="A474" s="2" t="s">
        <v>724</v>
      </c>
      <c r="B474" s="2" t="s">
        <v>390</v>
      </c>
      <c r="C474" s="2" t="s">
        <v>43</v>
      </c>
      <c r="D474" s="6">
        <v>45163</v>
      </c>
    </row>
    <row r="475" spans="1:4" x14ac:dyDescent="0.25">
      <c r="A475" s="2" t="s">
        <v>758</v>
      </c>
      <c r="B475" s="2" t="s">
        <v>33</v>
      </c>
      <c r="C475" s="2" t="s">
        <v>16</v>
      </c>
      <c r="D475" s="6">
        <v>45163</v>
      </c>
    </row>
    <row r="476" spans="1:4" x14ac:dyDescent="0.25">
      <c r="A476" s="2" t="s">
        <v>814</v>
      </c>
      <c r="B476" s="2" t="s">
        <v>175</v>
      </c>
      <c r="C476" s="2" t="s">
        <v>16</v>
      </c>
      <c r="D476" s="6">
        <v>45163</v>
      </c>
    </row>
    <row r="477" spans="1:4" x14ac:dyDescent="0.25">
      <c r="A477" s="2" t="s">
        <v>691</v>
      </c>
      <c r="B477" s="2" t="s">
        <v>447</v>
      </c>
      <c r="C477" s="2" t="s">
        <v>16</v>
      </c>
      <c r="D477" s="6">
        <v>45163</v>
      </c>
    </row>
    <row r="478" spans="1:4" x14ac:dyDescent="0.25">
      <c r="A478" s="2" t="s">
        <v>726</v>
      </c>
      <c r="B478" s="2" t="s">
        <v>509</v>
      </c>
      <c r="C478" s="2" t="s">
        <v>16</v>
      </c>
      <c r="D478" s="6">
        <v>45163</v>
      </c>
    </row>
    <row r="479" spans="1:4" x14ac:dyDescent="0.25">
      <c r="A479" s="2" t="s">
        <v>782</v>
      </c>
      <c r="B479" s="2" t="s">
        <v>285</v>
      </c>
      <c r="C479" s="2" t="s">
        <v>10</v>
      </c>
      <c r="D479" s="6">
        <v>45163</v>
      </c>
    </row>
    <row r="480" spans="1:4" x14ac:dyDescent="0.25">
      <c r="A480" s="2" t="s">
        <v>799</v>
      </c>
      <c r="B480" s="2" t="s">
        <v>229</v>
      </c>
      <c r="C480" s="2" t="s">
        <v>39</v>
      </c>
      <c r="D480" s="6">
        <v>45163</v>
      </c>
    </row>
    <row r="481" spans="1:4" x14ac:dyDescent="0.25">
      <c r="A481" s="2" t="s">
        <v>725</v>
      </c>
      <c r="B481" s="2" t="s">
        <v>340</v>
      </c>
      <c r="C481" s="2" t="s">
        <v>39</v>
      </c>
      <c r="D481" s="6">
        <v>45163</v>
      </c>
    </row>
    <row r="482" spans="1:4" x14ac:dyDescent="0.25">
      <c r="A482" s="2" t="s">
        <v>673</v>
      </c>
      <c r="B482" s="2" t="s">
        <v>567</v>
      </c>
      <c r="C482" s="2" t="s">
        <v>39</v>
      </c>
      <c r="D482" s="6">
        <v>45163</v>
      </c>
    </row>
    <row r="483" spans="1:4" x14ac:dyDescent="0.25">
      <c r="A483" s="2" t="s">
        <v>696</v>
      </c>
      <c r="B483" s="2" t="s">
        <v>620</v>
      </c>
      <c r="C483" s="2" t="s">
        <v>39</v>
      </c>
      <c r="D483" s="6">
        <v>45163</v>
      </c>
    </row>
    <row r="484" spans="1:4" x14ac:dyDescent="0.25">
      <c r="A484" s="2" t="s">
        <v>823</v>
      </c>
      <c r="B484" s="2" t="s">
        <v>132</v>
      </c>
      <c r="C484" s="2" t="s">
        <v>43</v>
      </c>
      <c r="D484" s="6">
        <v>45162</v>
      </c>
    </row>
    <row r="485" spans="1:4" x14ac:dyDescent="0.25">
      <c r="A485" s="2" t="s">
        <v>743</v>
      </c>
      <c r="B485" s="2" t="s">
        <v>134</v>
      </c>
      <c r="C485" s="2" t="s">
        <v>43</v>
      </c>
      <c r="D485" s="6">
        <v>45162</v>
      </c>
    </row>
    <row r="486" spans="1:4" x14ac:dyDescent="0.25">
      <c r="A486" s="2" t="s">
        <v>821</v>
      </c>
      <c r="B486" s="2" t="s">
        <v>146</v>
      </c>
      <c r="C486" s="2" t="s">
        <v>43</v>
      </c>
      <c r="D486" s="6">
        <v>45162</v>
      </c>
    </row>
    <row r="487" spans="1:4" x14ac:dyDescent="0.25">
      <c r="A487" s="2" t="s">
        <v>729</v>
      </c>
      <c r="B487" s="2" t="s">
        <v>196</v>
      </c>
      <c r="C487" s="2" t="s">
        <v>43</v>
      </c>
      <c r="D487" s="6">
        <v>45162</v>
      </c>
    </row>
    <row r="488" spans="1:4" x14ac:dyDescent="0.25">
      <c r="A488" s="2" t="s">
        <v>795</v>
      </c>
      <c r="B488" s="2" t="s">
        <v>245</v>
      </c>
      <c r="C488" s="2" t="s">
        <v>43</v>
      </c>
      <c r="D488" s="6">
        <v>45162</v>
      </c>
    </row>
    <row r="489" spans="1:4" x14ac:dyDescent="0.25">
      <c r="A489" s="2" t="s">
        <v>764</v>
      </c>
      <c r="B489" s="2" t="s">
        <v>359</v>
      </c>
      <c r="C489" s="2" t="s">
        <v>43</v>
      </c>
      <c r="D489" s="6">
        <v>45162</v>
      </c>
    </row>
    <row r="490" spans="1:4" x14ac:dyDescent="0.25">
      <c r="A490" s="2" t="s">
        <v>755</v>
      </c>
      <c r="B490" s="2" t="s">
        <v>405</v>
      </c>
      <c r="C490" s="2" t="s">
        <v>43</v>
      </c>
      <c r="D490" s="6">
        <v>45162</v>
      </c>
    </row>
    <row r="491" spans="1:4" x14ac:dyDescent="0.25">
      <c r="A491" s="2" t="s">
        <v>707</v>
      </c>
      <c r="B491" s="2" t="s">
        <v>414</v>
      </c>
      <c r="C491" s="2" t="s">
        <v>43</v>
      </c>
      <c r="D491" s="6">
        <v>45162</v>
      </c>
    </row>
    <row r="492" spans="1:4" x14ac:dyDescent="0.25">
      <c r="A492" s="2" t="s">
        <v>749</v>
      </c>
      <c r="B492" s="2" t="s">
        <v>419</v>
      </c>
      <c r="C492" s="2" t="s">
        <v>43</v>
      </c>
      <c r="D492" s="6">
        <v>45162</v>
      </c>
    </row>
    <row r="493" spans="1:4" x14ac:dyDescent="0.25">
      <c r="A493" s="2" t="s">
        <v>735</v>
      </c>
      <c r="B493" s="2" t="s">
        <v>471</v>
      </c>
      <c r="C493" s="2" t="s">
        <v>43</v>
      </c>
      <c r="D493" s="6">
        <v>45162</v>
      </c>
    </row>
    <row r="494" spans="1:4" x14ac:dyDescent="0.25">
      <c r="A494" s="2" t="s">
        <v>721</v>
      </c>
      <c r="B494" s="2" t="s">
        <v>524</v>
      </c>
      <c r="C494" s="2" t="s">
        <v>43</v>
      </c>
      <c r="D494" s="6">
        <v>45162</v>
      </c>
    </row>
    <row r="495" spans="1:4" x14ac:dyDescent="0.25">
      <c r="A495" s="2" t="s">
        <v>767</v>
      </c>
      <c r="B495" s="2" t="s">
        <v>527</v>
      </c>
      <c r="C495" s="2" t="s">
        <v>43</v>
      </c>
      <c r="D495" s="6">
        <v>45162</v>
      </c>
    </row>
    <row r="496" spans="1:4" x14ac:dyDescent="0.25">
      <c r="A496" s="2" t="s">
        <v>720</v>
      </c>
      <c r="B496" s="2" t="s">
        <v>536</v>
      </c>
      <c r="C496" s="2" t="s">
        <v>43</v>
      </c>
      <c r="D496" s="6">
        <v>45162</v>
      </c>
    </row>
    <row r="497" spans="1:4" x14ac:dyDescent="0.25">
      <c r="A497" s="2" t="s">
        <v>838</v>
      </c>
      <c r="B497" s="2" t="s">
        <v>587</v>
      </c>
      <c r="C497" s="2" t="s">
        <v>43</v>
      </c>
      <c r="D497" s="6">
        <v>45162</v>
      </c>
    </row>
    <row r="498" spans="1:4" x14ac:dyDescent="0.25">
      <c r="A498" s="2" t="s">
        <v>710</v>
      </c>
      <c r="B498" s="2" t="s">
        <v>69</v>
      </c>
      <c r="C498" s="2" t="s">
        <v>16</v>
      </c>
      <c r="D498" s="6">
        <v>45162</v>
      </c>
    </row>
    <row r="499" spans="1:4" x14ac:dyDescent="0.25">
      <c r="A499" s="2" t="s">
        <v>850</v>
      </c>
      <c r="B499" s="2" t="s">
        <v>81</v>
      </c>
      <c r="C499" s="2" t="s">
        <v>16</v>
      </c>
      <c r="D499" s="6">
        <v>45162</v>
      </c>
    </row>
    <row r="500" spans="1:4" x14ac:dyDescent="0.25">
      <c r="A500" s="2" t="s">
        <v>730</v>
      </c>
      <c r="B500" s="2" t="s">
        <v>243</v>
      </c>
      <c r="C500" s="2" t="s">
        <v>16</v>
      </c>
      <c r="D500" s="6">
        <v>45162</v>
      </c>
    </row>
    <row r="501" spans="1:4" x14ac:dyDescent="0.25">
      <c r="A501" s="2" t="s">
        <v>771</v>
      </c>
      <c r="B501" s="2" t="s">
        <v>254</v>
      </c>
      <c r="C501" s="2" t="s">
        <v>16</v>
      </c>
      <c r="D501" s="6">
        <v>45162</v>
      </c>
    </row>
    <row r="502" spans="1:4" x14ac:dyDescent="0.25">
      <c r="A502" s="2" t="s">
        <v>779</v>
      </c>
      <c r="B502" s="2" t="s">
        <v>303</v>
      </c>
      <c r="C502" s="2" t="s">
        <v>16</v>
      </c>
      <c r="D502" s="6">
        <v>45162</v>
      </c>
    </row>
    <row r="503" spans="1:4" x14ac:dyDescent="0.25">
      <c r="A503" s="2" t="s">
        <v>778</v>
      </c>
      <c r="B503" s="2" t="s">
        <v>311</v>
      </c>
      <c r="C503" s="2" t="s">
        <v>16</v>
      </c>
      <c r="D503" s="6">
        <v>45162</v>
      </c>
    </row>
    <row r="504" spans="1:4" x14ac:dyDescent="0.25">
      <c r="A504" s="2" t="s">
        <v>769</v>
      </c>
      <c r="B504" s="2" t="s">
        <v>351</v>
      </c>
      <c r="C504" s="2" t="s">
        <v>16</v>
      </c>
      <c r="D504" s="6">
        <v>45162</v>
      </c>
    </row>
    <row r="505" spans="1:4" x14ac:dyDescent="0.25">
      <c r="A505" s="2" t="s">
        <v>677</v>
      </c>
      <c r="B505" s="2" t="s">
        <v>580</v>
      </c>
      <c r="C505" s="2" t="s">
        <v>16</v>
      </c>
      <c r="D505" s="6">
        <v>45162</v>
      </c>
    </row>
    <row r="506" spans="1:4" x14ac:dyDescent="0.25">
      <c r="A506" s="2" t="s">
        <v>645</v>
      </c>
      <c r="B506" s="2" t="s">
        <v>353</v>
      </c>
      <c r="C506" s="2" t="s">
        <v>10</v>
      </c>
      <c r="D506" s="6">
        <v>45162</v>
      </c>
    </row>
    <row r="507" spans="1:4" x14ac:dyDescent="0.25">
      <c r="A507" s="2" t="s">
        <v>736</v>
      </c>
      <c r="B507" s="2" t="s">
        <v>468</v>
      </c>
      <c r="C507" s="2" t="s">
        <v>10</v>
      </c>
      <c r="D507" s="6">
        <v>45162</v>
      </c>
    </row>
    <row r="508" spans="1:4" x14ac:dyDescent="0.25">
      <c r="A508" s="2" t="s">
        <v>839</v>
      </c>
      <c r="B508" s="2" t="s">
        <v>477</v>
      </c>
      <c r="C508" s="2" t="s">
        <v>10</v>
      </c>
      <c r="D508" s="6">
        <v>45162</v>
      </c>
    </row>
    <row r="509" spans="1:4" x14ac:dyDescent="0.25">
      <c r="A509" s="2" t="s">
        <v>708</v>
      </c>
      <c r="B509" s="2" t="s">
        <v>584</v>
      </c>
      <c r="C509" s="2" t="s">
        <v>10</v>
      </c>
      <c r="D509" s="6">
        <v>45162</v>
      </c>
    </row>
    <row r="510" spans="1:4" x14ac:dyDescent="0.25">
      <c r="A510" s="2" t="s">
        <v>853</v>
      </c>
      <c r="B510" s="2" t="s">
        <v>63</v>
      </c>
      <c r="C510" s="2" t="s">
        <v>39</v>
      </c>
      <c r="D510" s="6">
        <v>45162</v>
      </c>
    </row>
    <row r="511" spans="1:4" x14ac:dyDescent="0.25">
      <c r="A511" s="2" t="s">
        <v>815</v>
      </c>
      <c r="B511" s="2" t="s">
        <v>193</v>
      </c>
      <c r="C511" s="2" t="s">
        <v>39</v>
      </c>
      <c r="D511" s="6">
        <v>45162</v>
      </c>
    </row>
    <row r="512" spans="1:4" x14ac:dyDescent="0.25">
      <c r="A512" s="2" t="s">
        <v>689</v>
      </c>
      <c r="B512" s="2" t="s">
        <v>202</v>
      </c>
      <c r="C512" s="2" t="s">
        <v>39</v>
      </c>
      <c r="D512" s="6">
        <v>45162</v>
      </c>
    </row>
    <row r="513" spans="1:4" x14ac:dyDescent="0.25">
      <c r="A513" s="2" t="s">
        <v>793</v>
      </c>
      <c r="B513" s="2" t="s">
        <v>300</v>
      </c>
      <c r="C513" s="2" t="s">
        <v>39</v>
      </c>
      <c r="D513" s="6">
        <v>45162</v>
      </c>
    </row>
    <row r="514" spans="1:4" x14ac:dyDescent="0.25">
      <c r="A514" s="2" t="s">
        <v>724</v>
      </c>
      <c r="B514" s="2" t="s">
        <v>390</v>
      </c>
      <c r="C514" s="2" t="s">
        <v>43</v>
      </c>
      <c r="D514" s="6">
        <v>45156</v>
      </c>
    </row>
    <row r="515" spans="1:4" x14ac:dyDescent="0.25">
      <c r="A515" s="2" t="s">
        <v>660</v>
      </c>
      <c r="B515" s="2" t="s">
        <v>622</v>
      </c>
      <c r="C515" s="2" t="s">
        <v>43</v>
      </c>
      <c r="D515" s="6">
        <v>45156</v>
      </c>
    </row>
    <row r="516" spans="1:4" x14ac:dyDescent="0.25">
      <c r="A516" s="2" t="s">
        <v>758</v>
      </c>
      <c r="B516" s="2" t="s">
        <v>33</v>
      </c>
      <c r="C516" s="2" t="s">
        <v>16</v>
      </c>
      <c r="D516" s="6">
        <v>45156</v>
      </c>
    </row>
    <row r="517" spans="1:4" x14ac:dyDescent="0.25">
      <c r="A517" s="2" t="s">
        <v>814</v>
      </c>
      <c r="B517" s="2" t="s">
        <v>175</v>
      </c>
      <c r="C517" s="2" t="s">
        <v>16</v>
      </c>
      <c r="D517" s="6">
        <v>45156</v>
      </c>
    </row>
    <row r="518" spans="1:4" x14ac:dyDescent="0.25">
      <c r="A518" s="2" t="s">
        <v>691</v>
      </c>
      <c r="B518" s="2" t="s">
        <v>447</v>
      </c>
      <c r="C518" s="2" t="s">
        <v>16</v>
      </c>
      <c r="D518" s="6">
        <v>45156</v>
      </c>
    </row>
    <row r="519" spans="1:4" x14ac:dyDescent="0.25">
      <c r="A519" s="2" t="s">
        <v>684</v>
      </c>
      <c r="B519" s="2" t="s">
        <v>77</v>
      </c>
      <c r="C519" s="2" t="s">
        <v>16</v>
      </c>
      <c r="D519" s="6">
        <v>45156</v>
      </c>
    </row>
    <row r="520" spans="1:4" x14ac:dyDescent="0.25">
      <c r="A520" s="2" t="s">
        <v>684</v>
      </c>
      <c r="B520" s="2" t="s">
        <v>77</v>
      </c>
      <c r="C520" s="2" t="s">
        <v>16</v>
      </c>
      <c r="D520" s="6">
        <v>45156</v>
      </c>
    </row>
    <row r="521" spans="1:4" x14ac:dyDescent="0.25">
      <c r="A521" s="2" t="s">
        <v>686</v>
      </c>
      <c r="B521" s="2" t="s">
        <v>507</v>
      </c>
      <c r="C521" s="2" t="s">
        <v>10</v>
      </c>
      <c r="D521" s="6">
        <v>45156</v>
      </c>
    </row>
    <row r="522" spans="1:4" x14ac:dyDescent="0.25">
      <c r="A522" s="2" t="s">
        <v>683</v>
      </c>
      <c r="B522" s="2" t="s">
        <v>116</v>
      </c>
      <c r="C522" s="2" t="s">
        <v>39</v>
      </c>
      <c r="D522" s="6">
        <v>45156</v>
      </c>
    </row>
    <row r="523" spans="1:4" x14ac:dyDescent="0.25">
      <c r="A523" s="2" t="s">
        <v>799</v>
      </c>
      <c r="B523" s="2" t="s">
        <v>229</v>
      </c>
      <c r="C523" s="2" t="s">
        <v>39</v>
      </c>
      <c r="D523" s="6">
        <v>45156</v>
      </c>
    </row>
    <row r="524" spans="1:4" x14ac:dyDescent="0.25">
      <c r="A524" s="2" t="s">
        <v>826</v>
      </c>
      <c r="B524" s="2" t="s">
        <v>282</v>
      </c>
      <c r="C524" s="2" t="s">
        <v>39</v>
      </c>
      <c r="D524" s="6">
        <v>45156</v>
      </c>
    </row>
    <row r="525" spans="1:4" x14ac:dyDescent="0.25">
      <c r="A525" s="2" t="s">
        <v>761</v>
      </c>
      <c r="B525" s="2" t="s">
        <v>337</v>
      </c>
      <c r="C525" s="2" t="s">
        <v>39</v>
      </c>
      <c r="D525" s="6">
        <v>45156</v>
      </c>
    </row>
    <row r="526" spans="1:4" x14ac:dyDescent="0.25">
      <c r="A526" s="2" t="s">
        <v>742</v>
      </c>
      <c r="B526" s="2" t="s">
        <v>564</v>
      </c>
      <c r="C526" s="2" t="s">
        <v>39</v>
      </c>
      <c r="D526" s="6">
        <v>45156</v>
      </c>
    </row>
    <row r="527" spans="1:4" x14ac:dyDescent="0.25">
      <c r="A527" s="2" t="s">
        <v>852</v>
      </c>
      <c r="B527" s="2" t="s">
        <v>72</v>
      </c>
      <c r="C527" s="2" t="s">
        <v>43</v>
      </c>
      <c r="D527" s="6">
        <v>45155</v>
      </c>
    </row>
    <row r="528" spans="1:4" x14ac:dyDescent="0.25">
      <c r="A528" s="2" t="s">
        <v>845</v>
      </c>
      <c r="B528" s="2" t="s">
        <v>102</v>
      </c>
      <c r="C528" s="2" t="s">
        <v>43</v>
      </c>
      <c r="D528" s="6">
        <v>45155</v>
      </c>
    </row>
    <row r="529" spans="1:4" x14ac:dyDescent="0.25">
      <c r="A529" s="2" t="s">
        <v>823</v>
      </c>
      <c r="B529" s="2" t="s">
        <v>132</v>
      </c>
      <c r="C529" s="2" t="s">
        <v>43</v>
      </c>
      <c r="D529" s="6">
        <v>45155</v>
      </c>
    </row>
    <row r="530" spans="1:4" x14ac:dyDescent="0.25">
      <c r="A530" s="2" t="s">
        <v>743</v>
      </c>
      <c r="B530" s="2" t="s">
        <v>134</v>
      </c>
      <c r="C530" s="2" t="s">
        <v>43</v>
      </c>
      <c r="D530" s="6">
        <v>45155</v>
      </c>
    </row>
    <row r="531" spans="1:4" x14ac:dyDescent="0.25">
      <c r="A531" s="2" t="s">
        <v>821</v>
      </c>
      <c r="B531" s="2" t="s">
        <v>146</v>
      </c>
      <c r="C531" s="2" t="s">
        <v>43</v>
      </c>
      <c r="D531" s="6">
        <v>45155</v>
      </c>
    </row>
    <row r="532" spans="1:4" x14ac:dyDescent="0.25">
      <c r="A532" s="2" t="s">
        <v>751</v>
      </c>
      <c r="B532" s="2" t="s">
        <v>155</v>
      </c>
      <c r="C532" s="2" t="s">
        <v>43</v>
      </c>
      <c r="D532" s="6">
        <v>45155</v>
      </c>
    </row>
    <row r="533" spans="1:4" x14ac:dyDescent="0.25">
      <c r="A533" s="2" t="s">
        <v>729</v>
      </c>
      <c r="B533" s="2" t="s">
        <v>196</v>
      </c>
      <c r="C533" s="2" t="s">
        <v>43</v>
      </c>
      <c r="D533" s="6">
        <v>45155</v>
      </c>
    </row>
    <row r="534" spans="1:4" x14ac:dyDescent="0.25">
      <c r="A534" s="2" t="s">
        <v>795</v>
      </c>
      <c r="B534" s="2" t="s">
        <v>245</v>
      </c>
      <c r="C534" s="2" t="s">
        <v>43</v>
      </c>
      <c r="D534" s="6">
        <v>45155</v>
      </c>
    </row>
    <row r="535" spans="1:4" x14ac:dyDescent="0.25">
      <c r="A535" s="2" t="s">
        <v>774</v>
      </c>
      <c r="B535" s="2" t="s">
        <v>322</v>
      </c>
      <c r="C535" s="2" t="s">
        <v>43</v>
      </c>
      <c r="D535" s="6">
        <v>45155</v>
      </c>
    </row>
    <row r="536" spans="1:4" x14ac:dyDescent="0.25">
      <c r="A536" s="2" t="s">
        <v>764</v>
      </c>
      <c r="B536" s="2" t="s">
        <v>359</v>
      </c>
      <c r="C536" s="2" t="s">
        <v>43</v>
      </c>
      <c r="D536" s="6">
        <v>45155</v>
      </c>
    </row>
    <row r="537" spans="1:4" x14ac:dyDescent="0.25">
      <c r="A537" s="2" t="s">
        <v>692</v>
      </c>
      <c r="B537" s="2" t="s">
        <v>370</v>
      </c>
      <c r="C537" s="2" t="s">
        <v>43</v>
      </c>
      <c r="D537" s="6">
        <v>45155</v>
      </c>
    </row>
    <row r="538" spans="1:4" x14ac:dyDescent="0.25">
      <c r="A538" s="2" t="s">
        <v>762</v>
      </c>
      <c r="B538" s="2" t="s">
        <v>382</v>
      </c>
      <c r="C538" s="2" t="s">
        <v>43</v>
      </c>
      <c r="D538" s="6">
        <v>45155</v>
      </c>
    </row>
    <row r="539" spans="1:4" x14ac:dyDescent="0.25">
      <c r="A539" s="2" t="s">
        <v>753</v>
      </c>
      <c r="B539" s="2" t="s">
        <v>402</v>
      </c>
      <c r="C539" s="2" t="s">
        <v>43</v>
      </c>
      <c r="D539" s="6">
        <v>45155</v>
      </c>
    </row>
    <row r="540" spans="1:4" x14ac:dyDescent="0.25">
      <c r="A540" s="2" t="s">
        <v>755</v>
      </c>
      <c r="B540" s="2" t="s">
        <v>405</v>
      </c>
      <c r="C540" s="2" t="s">
        <v>43</v>
      </c>
      <c r="D540" s="6">
        <v>45155</v>
      </c>
    </row>
    <row r="541" spans="1:4" x14ac:dyDescent="0.25">
      <c r="A541" s="2" t="s">
        <v>749</v>
      </c>
      <c r="B541" s="2" t="s">
        <v>419</v>
      </c>
      <c r="C541" s="2" t="s">
        <v>43</v>
      </c>
      <c r="D541" s="6">
        <v>45155</v>
      </c>
    </row>
    <row r="542" spans="1:4" x14ac:dyDescent="0.25">
      <c r="A542" s="2" t="s">
        <v>666</v>
      </c>
      <c r="B542" s="2" t="s">
        <v>430</v>
      </c>
      <c r="C542" s="2" t="s">
        <v>43</v>
      </c>
      <c r="D542" s="6">
        <v>45155</v>
      </c>
    </row>
    <row r="543" spans="1:4" x14ac:dyDescent="0.25">
      <c r="A543" s="2" t="s">
        <v>797</v>
      </c>
      <c r="B543" s="2" t="s">
        <v>465</v>
      </c>
      <c r="C543" s="2" t="s">
        <v>43</v>
      </c>
      <c r="D543" s="6">
        <v>45155</v>
      </c>
    </row>
    <row r="544" spans="1:4" x14ac:dyDescent="0.25">
      <c r="A544" s="2" t="s">
        <v>735</v>
      </c>
      <c r="B544" s="2" t="s">
        <v>471</v>
      </c>
      <c r="C544" s="2" t="s">
        <v>43</v>
      </c>
      <c r="D544" s="6">
        <v>45155</v>
      </c>
    </row>
    <row r="545" spans="1:4" x14ac:dyDescent="0.25">
      <c r="A545" s="2" t="s">
        <v>698</v>
      </c>
      <c r="B545" s="2" t="s">
        <v>501</v>
      </c>
      <c r="C545" s="2" t="s">
        <v>43</v>
      </c>
      <c r="D545" s="6">
        <v>45155</v>
      </c>
    </row>
    <row r="546" spans="1:4" x14ac:dyDescent="0.25">
      <c r="A546" s="2" t="s">
        <v>767</v>
      </c>
      <c r="B546" s="2" t="s">
        <v>527</v>
      </c>
      <c r="C546" s="2" t="s">
        <v>43</v>
      </c>
      <c r="D546" s="6">
        <v>45155</v>
      </c>
    </row>
    <row r="547" spans="1:4" x14ac:dyDescent="0.25">
      <c r="A547" s="2" t="s">
        <v>719</v>
      </c>
      <c r="B547" s="2" t="s">
        <v>550</v>
      </c>
      <c r="C547" s="2" t="s">
        <v>43</v>
      </c>
      <c r="D547" s="6">
        <v>45155</v>
      </c>
    </row>
    <row r="548" spans="1:4" x14ac:dyDescent="0.25">
      <c r="A548" s="2" t="s">
        <v>838</v>
      </c>
      <c r="B548" s="2" t="s">
        <v>588</v>
      </c>
      <c r="C548" s="2" t="s">
        <v>43</v>
      </c>
      <c r="D548" s="6">
        <v>45155</v>
      </c>
    </row>
    <row r="549" spans="1:4" x14ac:dyDescent="0.25">
      <c r="A549" s="2" t="s">
        <v>660</v>
      </c>
      <c r="B549" s="2" t="s">
        <v>622</v>
      </c>
      <c r="C549" s="2" t="s">
        <v>43</v>
      </c>
      <c r="D549" s="6">
        <v>45155</v>
      </c>
    </row>
    <row r="550" spans="1:4" x14ac:dyDescent="0.25">
      <c r="A550" s="2" t="s">
        <v>758</v>
      </c>
      <c r="B550" s="2" t="s">
        <v>33</v>
      </c>
      <c r="C550" s="2" t="s">
        <v>16</v>
      </c>
      <c r="D550" s="6">
        <v>45155</v>
      </c>
    </row>
    <row r="551" spans="1:4" x14ac:dyDescent="0.25">
      <c r="A551" s="2" t="s">
        <v>710</v>
      </c>
      <c r="B551" s="2" t="s">
        <v>69</v>
      </c>
      <c r="C551" s="2" t="s">
        <v>16</v>
      </c>
      <c r="D551" s="6">
        <v>45155</v>
      </c>
    </row>
    <row r="552" spans="1:4" x14ac:dyDescent="0.25">
      <c r="A552" s="2" t="s">
        <v>846</v>
      </c>
      <c r="B552" s="2" t="s">
        <v>96</v>
      </c>
      <c r="C552" s="2" t="s">
        <v>16</v>
      </c>
      <c r="D552" s="6">
        <v>45155</v>
      </c>
    </row>
    <row r="553" spans="1:4" x14ac:dyDescent="0.25">
      <c r="A553" s="2" t="s">
        <v>831</v>
      </c>
      <c r="B553" s="2" t="s">
        <v>167</v>
      </c>
      <c r="C553" s="2" t="s">
        <v>16</v>
      </c>
      <c r="D553" s="6">
        <v>45155</v>
      </c>
    </row>
    <row r="554" spans="1:4" x14ac:dyDescent="0.25">
      <c r="A554" s="2" t="s">
        <v>814</v>
      </c>
      <c r="B554" s="2" t="s">
        <v>175</v>
      </c>
      <c r="C554" s="2" t="s">
        <v>16</v>
      </c>
      <c r="D554" s="6">
        <v>45155</v>
      </c>
    </row>
    <row r="555" spans="1:4" x14ac:dyDescent="0.25">
      <c r="A555" s="2" t="s">
        <v>771</v>
      </c>
      <c r="B555" s="2" t="s">
        <v>254</v>
      </c>
      <c r="C555" s="2" t="s">
        <v>16</v>
      </c>
      <c r="D555" s="6">
        <v>45155</v>
      </c>
    </row>
    <row r="556" spans="1:4" x14ac:dyDescent="0.25">
      <c r="A556" s="2" t="s">
        <v>784</v>
      </c>
      <c r="B556" s="2" t="s">
        <v>270</v>
      </c>
      <c r="C556" s="2" t="s">
        <v>16</v>
      </c>
      <c r="D556" s="6">
        <v>45155</v>
      </c>
    </row>
    <row r="557" spans="1:4" x14ac:dyDescent="0.25">
      <c r="A557" s="2" t="s">
        <v>779</v>
      </c>
      <c r="B557" s="2" t="s">
        <v>303</v>
      </c>
      <c r="C557" s="2" t="s">
        <v>16</v>
      </c>
      <c r="D557" s="6">
        <v>45155</v>
      </c>
    </row>
    <row r="558" spans="1:4" x14ac:dyDescent="0.25">
      <c r="A558" s="2" t="s">
        <v>778</v>
      </c>
      <c r="B558" s="2" t="s">
        <v>311</v>
      </c>
      <c r="C558" s="2" t="s">
        <v>16</v>
      </c>
      <c r="D558" s="6">
        <v>45155</v>
      </c>
    </row>
    <row r="559" spans="1:4" x14ac:dyDescent="0.25">
      <c r="A559" s="2" t="s">
        <v>769</v>
      </c>
      <c r="B559" s="2" t="s">
        <v>351</v>
      </c>
      <c r="C559" s="2" t="s">
        <v>16</v>
      </c>
      <c r="D559" s="6">
        <v>45155</v>
      </c>
    </row>
    <row r="560" spans="1:4" x14ac:dyDescent="0.25">
      <c r="A560" s="2" t="s">
        <v>816</v>
      </c>
      <c r="B560" s="2" t="s">
        <v>385</v>
      </c>
      <c r="C560" s="2" t="s">
        <v>16</v>
      </c>
      <c r="D560" s="6">
        <v>45155</v>
      </c>
    </row>
    <row r="561" spans="1:4" x14ac:dyDescent="0.25">
      <c r="A561" s="2" t="s">
        <v>691</v>
      </c>
      <c r="B561" s="2" t="s">
        <v>447</v>
      </c>
      <c r="C561" s="2" t="s">
        <v>16</v>
      </c>
      <c r="D561" s="6">
        <v>45155</v>
      </c>
    </row>
    <row r="562" spans="1:4" x14ac:dyDescent="0.25">
      <c r="A562" s="2" t="s">
        <v>722</v>
      </c>
      <c r="B562" s="2" t="s">
        <v>521</v>
      </c>
      <c r="C562" s="2" t="s">
        <v>16</v>
      </c>
      <c r="D562" s="6">
        <v>45155</v>
      </c>
    </row>
    <row r="563" spans="1:4" x14ac:dyDescent="0.25">
      <c r="A563" s="2" t="s">
        <v>723</v>
      </c>
      <c r="B563" s="2" t="s">
        <v>533</v>
      </c>
      <c r="C563" s="2" t="s">
        <v>16</v>
      </c>
      <c r="D563" s="6">
        <v>45155</v>
      </c>
    </row>
    <row r="564" spans="1:4" x14ac:dyDescent="0.25">
      <c r="A564" s="2" t="s">
        <v>859</v>
      </c>
      <c r="B564" s="2" t="s">
        <v>547</v>
      </c>
      <c r="C564" s="2" t="s">
        <v>16</v>
      </c>
      <c r="D564" s="6">
        <v>45155</v>
      </c>
    </row>
    <row r="565" spans="1:4" x14ac:dyDescent="0.25">
      <c r="A565" s="2" t="s">
        <v>677</v>
      </c>
      <c r="B565" s="2" t="s">
        <v>580</v>
      </c>
      <c r="C565" s="2" t="s">
        <v>16</v>
      </c>
      <c r="D565" s="6">
        <v>45155</v>
      </c>
    </row>
    <row r="566" spans="1:4" x14ac:dyDescent="0.25">
      <c r="A566" s="2" t="s">
        <v>672</v>
      </c>
      <c r="B566" s="2" t="s">
        <v>606</v>
      </c>
      <c r="C566" s="2" t="s">
        <v>16</v>
      </c>
      <c r="D566" s="6">
        <v>45155</v>
      </c>
    </row>
    <row r="567" spans="1:4" x14ac:dyDescent="0.25">
      <c r="A567" s="2" t="s">
        <v>665</v>
      </c>
      <c r="B567" s="2" t="s">
        <v>8</v>
      </c>
      <c r="C567" s="2" t="s">
        <v>10</v>
      </c>
      <c r="D567" s="6">
        <v>45155</v>
      </c>
    </row>
    <row r="568" spans="1:4" x14ac:dyDescent="0.25">
      <c r="A568" s="2" t="s">
        <v>856</v>
      </c>
      <c r="B568" s="2" t="s">
        <v>23</v>
      </c>
      <c r="C568" s="2" t="s">
        <v>10</v>
      </c>
      <c r="D568" s="6">
        <v>45155</v>
      </c>
    </row>
    <row r="569" spans="1:4" x14ac:dyDescent="0.25">
      <c r="A569" s="2" t="s">
        <v>830</v>
      </c>
      <c r="B569" s="2" t="s">
        <v>158</v>
      </c>
      <c r="C569" s="2" t="s">
        <v>10</v>
      </c>
      <c r="D569" s="6">
        <v>45155</v>
      </c>
    </row>
    <row r="570" spans="1:4" x14ac:dyDescent="0.25">
      <c r="A570" s="2" t="s">
        <v>861</v>
      </c>
      <c r="B570" s="2" t="s">
        <v>240</v>
      </c>
      <c r="C570" s="2" t="s">
        <v>10</v>
      </c>
      <c r="D570" s="6">
        <v>45155</v>
      </c>
    </row>
    <row r="571" spans="1:4" x14ac:dyDescent="0.25">
      <c r="A571" s="2" t="s">
        <v>842</v>
      </c>
      <c r="B571" s="2" t="s">
        <v>329</v>
      </c>
      <c r="C571" s="2" t="s">
        <v>10</v>
      </c>
      <c r="D571" s="6">
        <v>45155</v>
      </c>
    </row>
    <row r="572" spans="1:4" x14ac:dyDescent="0.25">
      <c r="A572" s="2" t="s">
        <v>645</v>
      </c>
      <c r="B572" s="2" t="s">
        <v>353</v>
      </c>
      <c r="C572" s="2" t="s">
        <v>10</v>
      </c>
      <c r="D572" s="6">
        <v>45155</v>
      </c>
    </row>
    <row r="573" spans="1:4" x14ac:dyDescent="0.25">
      <c r="A573" s="2" t="s">
        <v>687</v>
      </c>
      <c r="B573" s="2" t="s">
        <v>373</v>
      </c>
      <c r="C573" s="2" t="s">
        <v>10</v>
      </c>
      <c r="D573" s="6">
        <v>45155</v>
      </c>
    </row>
    <row r="574" spans="1:4" x14ac:dyDescent="0.25">
      <c r="A574" s="2" t="s">
        <v>690</v>
      </c>
      <c r="B574" s="2" t="s">
        <v>433</v>
      </c>
      <c r="C574" s="2" t="s">
        <v>10</v>
      </c>
      <c r="D574" s="6">
        <v>45155</v>
      </c>
    </row>
    <row r="575" spans="1:4" x14ac:dyDescent="0.25">
      <c r="A575" s="2" t="s">
        <v>839</v>
      </c>
      <c r="B575" s="2" t="s">
        <v>477</v>
      </c>
      <c r="C575" s="2" t="s">
        <v>10</v>
      </c>
      <c r="D575" s="6">
        <v>45155</v>
      </c>
    </row>
    <row r="576" spans="1:4" x14ac:dyDescent="0.25">
      <c r="A576" s="2" t="s">
        <v>697</v>
      </c>
      <c r="B576" s="2" t="s">
        <v>493</v>
      </c>
      <c r="C576" s="2" t="s">
        <v>10</v>
      </c>
      <c r="D576" s="6">
        <v>45155</v>
      </c>
    </row>
    <row r="577" spans="1:4" x14ac:dyDescent="0.25">
      <c r="A577" s="2" t="s">
        <v>686</v>
      </c>
      <c r="B577" s="2" t="s">
        <v>507</v>
      </c>
      <c r="C577" s="2" t="s">
        <v>10</v>
      </c>
      <c r="D577" s="6">
        <v>45155</v>
      </c>
    </row>
    <row r="578" spans="1:4" x14ac:dyDescent="0.25">
      <c r="A578" s="2" t="s">
        <v>715</v>
      </c>
      <c r="B578" s="2" t="s">
        <v>558</v>
      </c>
      <c r="C578" s="2" t="s">
        <v>10</v>
      </c>
      <c r="D578" s="6">
        <v>45155</v>
      </c>
    </row>
    <row r="579" spans="1:4" x14ac:dyDescent="0.25">
      <c r="A579" s="2" t="s">
        <v>708</v>
      </c>
      <c r="B579" s="2" t="s">
        <v>584</v>
      </c>
      <c r="C579" s="2" t="s">
        <v>10</v>
      </c>
      <c r="D579" s="6">
        <v>45155</v>
      </c>
    </row>
    <row r="580" spans="1:4" x14ac:dyDescent="0.25">
      <c r="A580" s="2" t="s">
        <v>820</v>
      </c>
      <c r="B580" s="2" t="s">
        <v>603</v>
      </c>
      <c r="C580" s="2" t="s">
        <v>10</v>
      </c>
      <c r="D580" s="6">
        <v>45155</v>
      </c>
    </row>
    <row r="581" spans="1:4" x14ac:dyDescent="0.25">
      <c r="A581" s="2" t="s">
        <v>695</v>
      </c>
      <c r="B581" s="2" t="s">
        <v>617</v>
      </c>
      <c r="C581" s="2" t="s">
        <v>10</v>
      </c>
      <c r="D581" s="6">
        <v>45155</v>
      </c>
    </row>
    <row r="582" spans="1:4" x14ac:dyDescent="0.25">
      <c r="A582" s="2" t="s">
        <v>668</v>
      </c>
      <c r="B582" s="2" t="s">
        <v>408</v>
      </c>
      <c r="C582" s="2" t="s">
        <v>10</v>
      </c>
      <c r="D582" s="6">
        <v>45155</v>
      </c>
    </row>
    <row r="583" spans="1:4" x14ac:dyDescent="0.25">
      <c r="A583" s="2" t="s">
        <v>668</v>
      </c>
      <c r="B583" s="2" t="s">
        <v>408</v>
      </c>
      <c r="C583" s="2" t="s">
        <v>10</v>
      </c>
      <c r="D583" s="6">
        <v>45155</v>
      </c>
    </row>
    <row r="584" spans="1:4" x14ac:dyDescent="0.25">
      <c r="A584" s="2" t="s">
        <v>853</v>
      </c>
      <c r="B584" s="2" t="s">
        <v>63</v>
      </c>
      <c r="C584" s="2" t="s">
        <v>39</v>
      </c>
      <c r="D584" s="6">
        <v>45155</v>
      </c>
    </row>
    <row r="585" spans="1:4" x14ac:dyDescent="0.25">
      <c r="A585" s="2" t="s">
        <v>837</v>
      </c>
      <c r="B585" s="2" t="s">
        <v>111</v>
      </c>
      <c r="C585" s="2" t="s">
        <v>39</v>
      </c>
      <c r="D585" s="6">
        <v>45155</v>
      </c>
    </row>
    <row r="586" spans="1:4" x14ac:dyDescent="0.25">
      <c r="A586" s="2" t="s">
        <v>683</v>
      </c>
      <c r="B586" s="2" t="s">
        <v>116</v>
      </c>
      <c r="C586" s="2" t="s">
        <v>39</v>
      </c>
      <c r="D586" s="6">
        <v>45155</v>
      </c>
    </row>
    <row r="587" spans="1:4" x14ac:dyDescent="0.25">
      <c r="A587" s="2" t="s">
        <v>815</v>
      </c>
      <c r="B587" s="2" t="s">
        <v>193</v>
      </c>
      <c r="C587" s="2" t="s">
        <v>39</v>
      </c>
      <c r="D587" s="6">
        <v>45155</v>
      </c>
    </row>
    <row r="588" spans="1:4" x14ac:dyDescent="0.25">
      <c r="A588" s="2" t="s">
        <v>689</v>
      </c>
      <c r="B588" s="2" t="s">
        <v>202</v>
      </c>
      <c r="C588" s="2" t="s">
        <v>39</v>
      </c>
      <c r="D588" s="6">
        <v>45155</v>
      </c>
    </row>
    <row r="589" spans="1:4" x14ac:dyDescent="0.25">
      <c r="A589" s="2" t="s">
        <v>700</v>
      </c>
      <c r="B589" s="2" t="s">
        <v>214</v>
      </c>
      <c r="C589" s="2" t="s">
        <v>39</v>
      </c>
      <c r="D589" s="6">
        <v>45155</v>
      </c>
    </row>
    <row r="590" spans="1:4" x14ac:dyDescent="0.25">
      <c r="A590" s="2" t="s">
        <v>806</v>
      </c>
      <c r="B590" s="2" t="s">
        <v>217</v>
      </c>
      <c r="C590" s="2" t="s">
        <v>39</v>
      </c>
      <c r="D590" s="6">
        <v>45155</v>
      </c>
    </row>
    <row r="591" spans="1:4" x14ac:dyDescent="0.25">
      <c r="A591" s="2" t="s">
        <v>804</v>
      </c>
      <c r="B591" s="2" t="s">
        <v>223</v>
      </c>
      <c r="C591" s="2" t="s">
        <v>39</v>
      </c>
      <c r="D591" s="6">
        <v>45155</v>
      </c>
    </row>
    <row r="592" spans="1:4" x14ac:dyDescent="0.25">
      <c r="A592" s="2" t="s">
        <v>799</v>
      </c>
      <c r="B592" s="2" t="s">
        <v>229</v>
      </c>
      <c r="C592" s="2" t="s">
        <v>39</v>
      </c>
      <c r="D592" s="6">
        <v>45155</v>
      </c>
    </row>
    <row r="593" spans="1:4" x14ac:dyDescent="0.25">
      <c r="A593" s="2" t="s">
        <v>785</v>
      </c>
      <c r="B593" s="2" t="s">
        <v>267</v>
      </c>
      <c r="C593" s="2" t="s">
        <v>39</v>
      </c>
      <c r="D593" s="6">
        <v>45155</v>
      </c>
    </row>
    <row r="594" spans="1:4" x14ac:dyDescent="0.25">
      <c r="A594" s="2" t="s">
        <v>847</v>
      </c>
      <c r="B594" s="2" t="s">
        <v>279</v>
      </c>
      <c r="C594" s="2" t="s">
        <v>39</v>
      </c>
      <c r="D594" s="6">
        <v>45155</v>
      </c>
    </row>
    <row r="595" spans="1:4" x14ac:dyDescent="0.25">
      <c r="A595" s="2" t="s">
        <v>826</v>
      </c>
      <c r="B595" s="2" t="s">
        <v>282</v>
      </c>
      <c r="C595" s="2" t="s">
        <v>39</v>
      </c>
      <c r="D595" s="6">
        <v>45155</v>
      </c>
    </row>
    <row r="596" spans="1:4" x14ac:dyDescent="0.25">
      <c r="A596" s="2" t="s">
        <v>793</v>
      </c>
      <c r="B596" s="2" t="s">
        <v>300</v>
      </c>
      <c r="C596" s="2" t="s">
        <v>39</v>
      </c>
      <c r="D596" s="6">
        <v>45155</v>
      </c>
    </row>
    <row r="597" spans="1:4" x14ac:dyDescent="0.25">
      <c r="A597" s="2" t="s">
        <v>773</v>
      </c>
      <c r="B597" s="2" t="s">
        <v>332</v>
      </c>
      <c r="C597" s="2" t="s">
        <v>39</v>
      </c>
      <c r="D597" s="6">
        <v>45155</v>
      </c>
    </row>
    <row r="598" spans="1:4" x14ac:dyDescent="0.25">
      <c r="A598" s="2" t="s">
        <v>761</v>
      </c>
      <c r="B598" s="2" t="s">
        <v>337</v>
      </c>
      <c r="C598" s="2" t="s">
        <v>39</v>
      </c>
      <c r="D598" s="6">
        <v>45155</v>
      </c>
    </row>
    <row r="599" spans="1:4" x14ac:dyDescent="0.25">
      <c r="A599" s="2" t="s">
        <v>744</v>
      </c>
      <c r="B599" s="2" t="s">
        <v>442</v>
      </c>
      <c r="C599" s="2" t="s">
        <v>39</v>
      </c>
      <c r="D599" s="6">
        <v>45155</v>
      </c>
    </row>
    <row r="600" spans="1:4" x14ac:dyDescent="0.25">
      <c r="A600" s="2" t="s">
        <v>657</v>
      </c>
      <c r="B600" s="2" t="s">
        <v>491</v>
      </c>
      <c r="C600" s="2" t="s">
        <v>39</v>
      </c>
      <c r="D600" s="6">
        <v>45155</v>
      </c>
    </row>
    <row r="601" spans="1:4" x14ac:dyDescent="0.25">
      <c r="A601" s="2" t="s">
        <v>742</v>
      </c>
      <c r="B601" s="2" t="s">
        <v>564</v>
      </c>
      <c r="C601" s="2" t="s">
        <v>39</v>
      </c>
      <c r="D601" s="6">
        <v>45155</v>
      </c>
    </row>
    <row r="602" spans="1:4" x14ac:dyDescent="0.25">
      <c r="A602" s="2" t="s">
        <v>840</v>
      </c>
      <c r="B602" s="2" t="s">
        <v>316</v>
      </c>
      <c r="C602" s="2" t="s">
        <v>43</v>
      </c>
      <c r="D602" s="6">
        <v>45154</v>
      </c>
    </row>
    <row r="603" spans="1:4" x14ac:dyDescent="0.25">
      <c r="A603" s="2" t="s">
        <v>840</v>
      </c>
      <c r="B603" s="2" t="s">
        <v>316</v>
      </c>
      <c r="C603" s="2" t="s">
        <v>43</v>
      </c>
      <c r="D603" s="6">
        <v>45154</v>
      </c>
    </row>
    <row r="604" spans="1:4" x14ac:dyDescent="0.25">
      <c r="A604" s="2" t="s">
        <v>685</v>
      </c>
      <c r="B604" s="2" t="s">
        <v>27</v>
      </c>
      <c r="C604" s="2" t="s">
        <v>10</v>
      </c>
      <c r="D604" s="6">
        <v>45154</v>
      </c>
    </row>
    <row r="605" spans="1:4" x14ac:dyDescent="0.25">
      <c r="A605" s="2" t="s">
        <v>685</v>
      </c>
      <c r="B605" s="2" t="s">
        <v>27</v>
      </c>
      <c r="C605" s="2" t="s">
        <v>10</v>
      </c>
      <c r="D605" s="6">
        <v>45154</v>
      </c>
    </row>
    <row r="606" spans="1:4" x14ac:dyDescent="0.25">
      <c r="A606" s="2" t="s">
        <v>852</v>
      </c>
      <c r="B606" s="2" t="s">
        <v>72</v>
      </c>
      <c r="C606" s="2" t="s">
        <v>43</v>
      </c>
      <c r="D606" s="6">
        <v>45148</v>
      </c>
    </row>
    <row r="607" spans="1:4" x14ac:dyDescent="0.25">
      <c r="A607" s="2" t="s">
        <v>843</v>
      </c>
      <c r="B607" s="2" t="s">
        <v>108</v>
      </c>
      <c r="C607" s="2" t="s">
        <v>43</v>
      </c>
      <c r="D607" s="6">
        <v>45148</v>
      </c>
    </row>
    <row r="608" spans="1:4" x14ac:dyDescent="0.25">
      <c r="A608" s="2" t="s">
        <v>823</v>
      </c>
      <c r="B608" s="2" t="s">
        <v>132</v>
      </c>
      <c r="C608" s="2" t="s">
        <v>43</v>
      </c>
      <c r="D608" s="6">
        <v>45148</v>
      </c>
    </row>
    <row r="609" spans="1:4" x14ac:dyDescent="0.25">
      <c r="A609" s="2" t="s">
        <v>743</v>
      </c>
      <c r="B609" s="2" t="s">
        <v>134</v>
      </c>
      <c r="C609" s="2" t="s">
        <v>43</v>
      </c>
      <c r="D609" s="6">
        <v>45148</v>
      </c>
    </row>
    <row r="610" spans="1:4" x14ac:dyDescent="0.25">
      <c r="A610" s="2" t="s">
        <v>729</v>
      </c>
      <c r="B610" s="2" t="s">
        <v>196</v>
      </c>
      <c r="C610" s="2" t="s">
        <v>43</v>
      </c>
      <c r="D610" s="6">
        <v>45148</v>
      </c>
    </row>
    <row r="611" spans="1:4" x14ac:dyDescent="0.25">
      <c r="A611" s="2" t="s">
        <v>795</v>
      </c>
      <c r="B611" s="2" t="s">
        <v>245</v>
      </c>
      <c r="C611" s="2" t="s">
        <v>43</v>
      </c>
      <c r="D611" s="6">
        <v>45148</v>
      </c>
    </row>
    <row r="612" spans="1:4" x14ac:dyDescent="0.25">
      <c r="A612" s="2" t="s">
        <v>764</v>
      </c>
      <c r="B612" s="2" t="s">
        <v>359</v>
      </c>
      <c r="C612" s="2" t="s">
        <v>43</v>
      </c>
      <c r="D612" s="6">
        <v>45148</v>
      </c>
    </row>
    <row r="613" spans="1:4" x14ac:dyDescent="0.25">
      <c r="A613" s="2" t="s">
        <v>760</v>
      </c>
      <c r="B613" s="2" t="s">
        <v>379</v>
      </c>
      <c r="C613" s="2" t="s">
        <v>43</v>
      </c>
      <c r="D613" s="6">
        <v>45148</v>
      </c>
    </row>
    <row r="614" spans="1:4" x14ac:dyDescent="0.25">
      <c r="A614" s="2" t="s">
        <v>753</v>
      </c>
      <c r="B614" s="2" t="s">
        <v>402</v>
      </c>
      <c r="C614" s="2" t="s">
        <v>43</v>
      </c>
      <c r="D614" s="6">
        <v>45148</v>
      </c>
    </row>
    <row r="615" spans="1:4" x14ac:dyDescent="0.25">
      <c r="A615" s="2" t="s">
        <v>755</v>
      </c>
      <c r="B615" s="2" t="s">
        <v>405</v>
      </c>
      <c r="C615" s="2" t="s">
        <v>43</v>
      </c>
      <c r="D615" s="6">
        <v>45148</v>
      </c>
    </row>
    <row r="616" spans="1:4" x14ac:dyDescent="0.25">
      <c r="A616" s="2" t="s">
        <v>797</v>
      </c>
      <c r="B616" s="2" t="s">
        <v>465</v>
      </c>
      <c r="C616" s="2" t="s">
        <v>43</v>
      </c>
      <c r="D616" s="6">
        <v>45148</v>
      </c>
    </row>
    <row r="617" spans="1:4" x14ac:dyDescent="0.25">
      <c r="A617" s="2" t="s">
        <v>734</v>
      </c>
      <c r="B617" s="2" t="s">
        <v>474</v>
      </c>
      <c r="C617" s="2" t="s">
        <v>43</v>
      </c>
      <c r="D617" s="6">
        <v>45148</v>
      </c>
    </row>
    <row r="618" spans="1:4" x14ac:dyDescent="0.25">
      <c r="A618" s="2" t="s">
        <v>698</v>
      </c>
      <c r="B618" s="2" t="s">
        <v>501</v>
      </c>
      <c r="C618" s="2" t="s">
        <v>43</v>
      </c>
      <c r="D618" s="6">
        <v>45148</v>
      </c>
    </row>
    <row r="619" spans="1:4" x14ac:dyDescent="0.25">
      <c r="A619" s="2" t="s">
        <v>767</v>
      </c>
      <c r="B619" s="2" t="s">
        <v>527</v>
      </c>
      <c r="C619" s="2" t="s">
        <v>43</v>
      </c>
      <c r="D619" s="6">
        <v>45148</v>
      </c>
    </row>
    <row r="620" spans="1:4" x14ac:dyDescent="0.25">
      <c r="A620" s="2" t="s">
        <v>838</v>
      </c>
      <c r="B620" s="2" t="s">
        <v>587</v>
      </c>
      <c r="C620" s="2" t="s">
        <v>43</v>
      </c>
      <c r="D620" s="6">
        <v>45148</v>
      </c>
    </row>
    <row r="621" spans="1:4" x14ac:dyDescent="0.25">
      <c r="A621" s="2" t="s">
        <v>662</v>
      </c>
      <c r="B621" s="2" t="s">
        <v>614</v>
      </c>
      <c r="C621" s="2" t="s">
        <v>43</v>
      </c>
      <c r="D621" s="6">
        <v>45148</v>
      </c>
    </row>
    <row r="622" spans="1:4" x14ac:dyDescent="0.25">
      <c r="A622" s="2" t="s">
        <v>832</v>
      </c>
      <c r="B622" s="2" t="s">
        <v>140</v>
      </c>
      <c r="C622" s="2" t="s">
        <v>16</v>
      </c>
      <c r="D622" s="6">
        <v>45148</v>
      </c>
    </row>
    <row r="623" spans="1:4" x14ac:dyDescent="0.25">
      <c r="A623" s="2" t="s">
        <v>831</v>
      </c>
      <c r="B623" s="2" t="s">
        <v>167</v>
      </c>
      <c r="C623" s="2" t="s">
        <v>16</v>
      </c>
      <c r="D623" s="6">
        <v>45148</v>
      </c>
    </row>
    <row r="624" spans="1:4" x14ac:dyDescent="0.25">
      <c r="A624" s="2" t="s">
        <v>779</v>
      </c>
      <c r="B624" s="2" t="s">
        <v>303</v>
      </c>
      <c r="C624" s="2" t="s">
        <v>16</v>
      </c>
      <c r="D624" s="6">
        <v>45148</v>
      </c>
    </row>
    <row r="625" spans="1:4" x14ac:dyDescent="0.25">
      <c r="A625" s="2" t="s">
        <v>778</v>
      </c>
      <c r="B625" s="2" t="s">
        <v>311</v>
      </c>
      <c r="C625" s="2" t="s">
        <v>16</v>
      </c>
      <c r="D625" s="6">
        <v>45148</v>
      </c>
    </row>
    <row r="626" spans="1:4" x14ac:dyDescent="0.25">
      <c r="A626" s="2" t="s">
        <v>769</v>
      </c>
      <c r="B626" s="2" t="s">
        <v>351</v>
      </c>
      <c r="C626" s="2" t="s">
        <v>16</v>
      </c>
      <c r="D626" s="6">
        <v>45148</v>
      </c>
    </row>
    <row r="627" spans="1:4" x14ac:dyDescent="0.25">
      <c r="A627" s="2" t="s">
        <v>752</v>
      </c>
      <c r="B627" s="2" t="s">
        <v>416</v>
      </c>
      <c r="C627" s="2" t="s">
        <v>16</v>
      </c>
      <c r="D627" s="6">
        <v>45148</v>
      </c>
    </row>
    <row r="628" spans="1:4" x14ac:dyDescent="0.25">
      <c r="A628" s="2" t="s">
        <v>722</v>
      </c>
      <c r="B628" s="2" t="s">
        <v>521</v>
      </c>
      <c r="C628" s="2" t="s">
        <v>16</v>
      </c>
      <c r="D628" s="6">
        <v>45148</v>
      </c>
    </row>
    <row r="629" spans="1:4" x14ac:dyDescent="0.25">
      <c r="A629" s="2" t="s">
        <v>723</v>
      </c>
      <c r="B629" s="2" t="s">
        <v>533</v>
      </c>
      <c r="C629" s="2" t="s">
        <v>16</v>
      </c>
      <c r="D629" s="6">
        <v>45148</v>
      </c>
    </row>
    <row r="630" spans="1:4" x14ac:dyDescent="0.25">
      <c r="A630" s="2" t="s">
        <v>677</v>
      </c>
      <c r="B630" s="2" t="s">
        <v>580</v>
      </c>
      <c r="C630" s="2" t="s">
        <v>16</v>
      </c>
      <c r="D630" s="6">
        <v>45148</v>
      </c>
    </row>
    <row r="631" spans="1:4" x14ac:dyDescent="0.25">
      <c r="A631" s="2" t="s">
        <v>856</v>
      </c>
      <c r="B631" s="2" t="s">
        <v>23</v>
      </c>
      <c r="C631" s="2" t="s">
        <v>10</v>
      </c>
      <c r="D631" s="6">
        <v>45148</v>
      </c>
    </row>
    <row r="632" spans="1:4" x14ac:dyDescent="0.25">
      <c r="A632" s="2" t="s">
        <v>861</v>
      </c>
      <c r="B632" s="2" t="s">
        <v>240</v>
      </c>
      <c r="C632" s="2" t="s">
        <v>10</v>
      </c>
      <c r="D632" s="6">
        <v>45148</v>
      </c>
    </row>
    <row r="633" spans="1:4" x14ac:dyDescent="0.25">
      <c r="A633" s="2" t="s">
        <v>794</v>
      </c>
      <c r="B633" s="2" t="s">
        <v>251</v>
      </c>
      <c r="C633" s="2" t="s">
        <v>10</v>
      </c>
      <c r="D633" s="6">
        <v>45148</v>
      </c>
    </row>
    <row r="634" spans="1:4" x14ac:dyDescent="0.25">
      <c r="A634" s="2" t="s">
        <v>645</v>
      </c>
      <c r="B634" s="2" t="s">
        <v>353</v>
      </c>
      <c r="C634" s="2" t="s">
        <v>10</v>
      </c>
      <c r="D634" s="6">
        <v>45148</v>
      </c>
    </row>
    <row r="635" spans="1:4" x14ac:dyDescent="0.25">
      <c r="A635" s="2" t="s">
        <v>736</v>
      </c>
      <c r="B635" s="2" t="s">
        <v>468</v>
      </c>
      <c r="C635" s="2" t="s">
        <v>10</v>
      </c>
      <c r="D635" s="6">
        <v>45148</v>
      </c>
    </row>
    <row r="636" spans="1:4" x14ac:dyDescent="0.25">
      <c r="A636" s="2" t="s">
        <v>715</v>
      </c>
      <c r="B636" s="2" t="s">
        <v>558</v>
      </c>
      <c r="C636" s="2" t="s">
        <v>10</v>
      </c>
      <c r="D636" s="6">
        <v>45148</v>
      </c>
    </row>
    <row r="637" spans="1:4" x14ac:dyDescent="0.25">
      <c r="A637" s="2" t="s">
        <v>708</v>
      </c>
      <c r="B637" s="2" t="s">
        <v>584</v>
      </c>
      <c r="C637" s="2" t="s">
        <v>10</v>
      </c>
      <c r="D637" s="6">
        <v>45148</v>
      </c>
    </row>
    <row r="638" spans="1:4" x14ac:dyDescent="0.25">
      <c r="A638" s="2" t="s">
        <v>853</v>
      </c>
      <c r="B638" s="2" t="s">
        <v>63</v>
      </c>
      <c r="C638" s="2" t="s">
        <v>39</v>
      </c>
      <c r="D638" s="6">
        <v>45148</v>
      </c>
    </row>
    <row r="639" spans="1:4" x14ac:dyDescent="0.25">
      <c r="A639" s="2" t="s">
        <v>783</v>
      </c>
      <c r="B639" s="2" t="s">
        <v>66</v>
      </c>
      <c r="C639" s="2" t="s">
        <v>39</v>
      </c>
      <c r="D639" s="6">
        <v>45148</v>
      </c>
    </row>
    <row r="640" spans="1:4" x14ac:dyDescent="0.25">
      <c r="A640" s="2" t="s">
        <v>815</v>
      </c>
      <c r="B640" s="2" t="s">
        <v>193</v>
      </c>
      <c r="C640" s="2" t="s">
        <v>39</v>
      </c>
      <c r="D640" s="6">
        <v>45148</v>
      </c>
    </row>
    <row r="641" spans="1:4" x14ac:dyDescent="0.25">
      <c r="A641" s="2" t="s">
        <v>689</v>
      </c>
      <c r="B641" s="2" t="s">
        <v>202</v>
      </c>
      <c r="C641" s="2" t="s">
        <v>39</v>
      </c>
      <c r="D641" s="6">
        <v>45148</v>
      </c>
    </row>
    <row r="642" spans="1:4" x14ac:dyDescent="0.25">
      <c r="A642" s="2" t="s">
        <v>804</v>
      </c>
      <c r="B642" s="2" t="s">
        <v>223</v>
      </c>
      <c r="C642" s="2" t="s">
        <v>39</v>
      </c>
      <c r="D642" s="6">
        <v>45148</v>
      </c>
    </row>
    <row r="643" spans="1:4" x14ac:dyDescent="0.25">
      <c r="A643" s="2" t="s">
        <v>847</v>
      </c>
      <c r="B643" s="2" t="s">
        <v>279</v>
      </c>
      <c r="C643" s="2" t="s">
        <v>39</v>
      </c>
      <c r="D643" s="6">
        <v>45148</v>
      </c>
    </row>
    <row r="644" spans="1:4" x14ac:dyDescent="0.25">
      <c r="A644" s="2" t="s">
        <v>793</v>
      </c>
      <c r="B644" s="2" t="s">
        <v>300</v>
      </c>
      <c r="C644" s="2" t="s">
        <v>39</v>
      </c>
      <c r="D644" s="6">
        <v>45148</v>
      </c>
    </row>
    <row r="645" spans="1:4" x14ac:dyDescent="0.25">
      <c r="A645" s="2" t="s">
        <v>773</v>
      </c>
      <c r="B645" s="2" t="s">
        <v>332</v>
      </c>
      <c r="C645" s="2" t="s">
        <v>39</v>
      </c>
      <c r="D645" s="6">
        <v>45148</v>
      </c>
    </row>
    <row r="646" spans="1:4" x14ac:dyDescent="0.25">
      <c r="A646" s="2" t="s">
        <v>744</v>
      </c>
      <c r="B646" s="2" t="s">
        <v>442</v>
      </c>
      <c r="C646" s="2" t="s">
        <v>39</v>
      </c>
      <c r="D646" s="6">
        <v>45148</v>
      </c>
    </row>
    <row r="647" spans="1:4" x14ac:dyDescent="0.25">
      <c r="A647" s="2" t="s">
        <v>843</v>
      </c>
      <c r="B647" s="2" t="s">
        <v>108</v>
      </c>
      <c r="C647" s="2" t="s">
        <v>43</v>
      </c>
      <c r="D647" s="6">
        <v>45141</v>
      </c>
    </row>
    <row r="648" spans="1:4" x14ac:dyDescent="0.25">
      <c r="A648" s="2" t="s">
        <v>760</v>
      </c>
      <c r="B648" s="2" t="s">
        <v>379</v>
      </c>
      <c r="C648" s="2" t="s">
        <v>43</v>
      </c>
      <c r="D648" s="6">
        <v>45141</v>
      </c>
    </row>
    <row r="649" spans="1:4" x14ac:dyDescent="0.25">
      <c r="A649" s="2" t="s">
        <v>719</v>
      </c>
      <c r="B649" s="2" t="s">
        <v>550</v>
      </c>
      <c r="C649" s="2" t="s">
        <v>43</v>
      </c>
      <c r="D649" s="6">
        <v>45141</v>
      </c>
    </row>
    <row r="650" spans="1:4" x14ac:dyDescent="0.25">
      <c r="A650" s="2" t="s">
        <v>662</v>
      </c>
      <c r="B650" s="2" t="s">
        <v>614</v>
      </c>
      <c r="C650" s="2" t="s">
        <v>43</v>
      </c>
      <c r="D650" s="6">
        <v>45141</v>
      </c>
    </row>
    <row r="651" spans="1:4" x14ac:dyDescent="0.25">
      <c r="A651" s="2" t="s">
        <v>831</v>
      </c>
      <c r="B651" s="2" t="s">
        <v>167</v>
      </c>
      <c r="C651" s="2" t="s">
        <v>16</v>
      </c>
      <c r="D651" s="6">
        <v>45141</v>
      </c>
    </row>
    <row r="652" spans="1:4" x14ac:dyDescent="0.25">
      <c r="A652" s="2" t="s">
        <v>784</v>
      </c>
      <c r="B652" s="2" t="s">
        <v>270</v>
      </c>
      <c r="C652" s="2" t="s">
        <v>16</v>
      </c>
      <c r="D652" s="6">
        <v>45141</v>
      </c>
    </row>
    <row r="653" spans="1:4" x14ac:dyDescent="0.25">
      <c r="A653" s="2" t="s">
        <v>670</v>
      </c>
      <c r="B653" s="2" t="s">
        <v>276</v>
      </c>
      <c r="C653" s="2" t="s">
        <v>16</v>
      </c>
      <c r="D653" s="6">
        <v>45141</v>
      </c>
    </row>
    <row r="654" spans="1:4" x14ac:dyDescent="0.25">
      <c r="A654" s="2" t="s">
        <v>672</v>
      </c>
      <c r="B654" s="2" t="s">
        <v>606</v>
      </c>
      <c r="C654" s="2" t="s">
        <v>16</v>
      </c>
      <c r="D654" s="6">
        <v>45141</v>
      </c>
    </row>
    <row r="655" spans="1:4" x14ac:dyDescent="0.25">
      <c r="A655" s="2" t="s">
        <v>665</v>
      </c>
      <c r="B655" s="2" t="s">
        <v>8</v>
      </c>
      <c r="C655" s="2" t="s">
        <v>10</v>
      </c>
      <c r="D655" s="6">
        <v>45141</v>
      </c>
    </row>
    <row r="656" spans="1:4" x14ac:dyDescent="0.25">
      <c r="A656" s="2" t="s">
        <v>856</v>
      </c>
      <c r="B656" s="2" t="s">
        <v>23</v>
      </c>
      <c r="C656" s="2" t="s">
        <v>10</v>
      </c>
      <c r="D656" s="6">
        <v>45141</v>
      </c>
    </row>
    <row r="657" spans="1:4" x14ac:dyDescent="0.25">
      <c r="A657" s="2" t="s">
        <v>830</v>
      </c>
      <c r="B657" s="2" t="s">
        <v>158</v>
      </c>
      <c r="C657" s="2" t="s">
        <v>10</v>
      </c>
      <c r="D657" s="6">
        <v>45141</v>
      </c>
    </row>
    <row r="658" spans="1:4" x14ac:dyDescent="0.25">
      <c r="A658" s="2" t="s">
        <v>842</v>
      </c>
      <c r="B658" s="2" t="s">
        <v>329</v>
      </c>
      <c r="C658" s="2" t="s">
        <v>10</v>
      </c>
      <c r="D658" s="6">
        <v>45141</v>
      </c>
    </row>
    <row r="659" spans="1:4" x14ac:dyDescent="0.25">
      <c r="A659" s="2" t="s">
        <v>687</v>
      </c>
      <c r="B659" s="2" t="s">
        <v>373</v>
      </c>
      <c r="C659" s="2" t="s">
        <v>10</v>
      </c>
      <c r="D659" s="6">
        <v>45141</v>
      </c>
    </row>
    <row r="660" spans="1:4" x14ac:dyDescent="0.25">
      <c r="A660" s="2" t="s">
        <v>690</v>
      </c>
      <c r="B660" s="2" t="s">
        <v>433</v>
      </c>
      <c r="C660" s="2" t="s">
        <v>10</v>
      </c>
      <c r="D660" s="6">
        <v>45141</v>
      </c>
    </row>
    <row r="661" spans="1:4" x14ac:dyDescent="0.25">
      <c r="A661" s="2" t="s">
        <v>697</v>
      </c>
      <c r="B661" s="2" t="s">
        <v>493</v>
      </c>
      <c r="C661" s="2" t="s">
        <v>10</v>
      </c>
      <c r="D661" s="6">
        <v>45141</v>
      </c>
    </row>
    <row r="662" spans="1:4" x14ac:dyDescent="0.25">
      <c r="A662" s="2" t="s">
        <v>715</v>
      </c>
      <c r="B662" s="2" t="s">
        <v>558</v>
      </c>
      <c r="C662" s="2" t="s">
        <v>10</v>
      </c>
      <c r="D662" s="6">
        <v>45141</v>
      </c>
    </row>
    <row r="663" spans="1:4" x14ac:dyDescent="0.25">
      <c r="A663" s="2" t="s">
        <v>650</v>
      </c>
      <c r="B663" s="2" t="s">
        <v>99</v>
      </c>
      <c r="C663" s="2" t="s">
        <v>39</v>
      </c>
      <c r="D663" s="6">
        <v>45141</v>
      </c>
    </row>
    <row r="664" spans="1:4" x14ac:dyDescent="0.25">
      <c r="A664" s="2" t="s">
        <v>806</v>
      </c>
      <c r="B664" s="2" t="s">
        <v>217</v>
      </c>
      <c r="C664" s="2" t="s">
        <v>39</v>
      </c>
      <c r="D664" s="6">
        <v>45141</v>
      </c>
    </row>
    <row r="665" spans="1:4" x14ac:dyDescent="0.25">
      <c r="A665" s="2" t="s">
        <v>804</v>
      </c>
      <c r="B665" s="2" t="s">
        <v>223</v>
      </c>
      <c r="C665" s="2" t="s">
        <v>39</v>
      </c>
      <c r="D665" s="6">
        <v>45141</v>
      </c>
    </row>
    <row r="666" spans="1:4" x14ac:dyDescent="0.25">
      <c r="A666" s="2" t="s">
        <v>773</v>
      </c>
      <c r="B666" s="2" t="s">
        <v>332</v>
      </c>
      <c r="C666" s="2" t="s">
        <v>39</v>
      </c>
      <c r="D666" s="6">
        <v>45141</v>
      </c>
    </row>
    <row r="667" spans="1:4" x14ac:dyDescent="0.25">
      <c r="A667" s="2" t="s">
        <v>744</v>
      </c>
      <c r="B667" s="2" t="s">
        <v>442</v>
      </c>
      <c r="C667" s="2" t="s">
        <v>39</v>
      </c>
      <c r="D667" s="6">
        <v>45141</v>
      </c>
    </row>
    <row r="668" spans="1:4" x14ac:dyDescent="0.25">
      <c r="A668" s="2" t="s">
        <v>727</v>
      </c>
      <c r="B668" s="2" t="s">
        <v>499</v>
      </c>
      <c r="C668" s="2" t="s">
        <v>39</v>
      </c>
      <c r="D668" s="6">
        <v>45141</v>
      </c>
    </row>
  </sheetData>
  <conditionalFormatting sqref="A1:A656 C1:C656 B1:B668 D1:D668 A660:A666">
    <cfRule type="expression" dxfId="1" priority="1">
      <formula>"C2=IF("</formula>
    </cfRule>
  </conditionalFormatting>
  <dataValidations count="1">
    <dataValidation type="custom" allowBlank="1" showDropDown="1" sqref="D2:D668" xr:uid="{00000000-0002-0000-0300-000000000000}">
      <formula1>OR(NOT(ISERROR(DATEVALUE(D2))), AND(ISNUMBER(D2), LEFT(CELL("format", D2))="D"))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D63-07E0-430A-B811-3A88221C157C}">
  <dimension ref="A1:E217"/>
  <sheetViews>
    <sheetView workbookViewId="0">
      <selection activeCell="E28" sqref="E28"/>
    </sheetView>
  </sheetViews>
  <sheetFormatPr baseColWidth="10" defaultRowHeight="13.2" x14ac:dyDescent="0.25"/>
  <cols>
    <col min="1" max="1" width="11.5546875" style="7"/>
    <col min="2" max="2" width="14.88671875" bestFit="1" customWidth="1"/>
    <col min="3" max="3" width="20.6640625" customWidth="1"/>
    <col min="4" max="4" width="13.21875" bestFit="1" customWidth="1"/>
  </cols>
  <sheetData>
    <row r="1" spans="1:5" x14ac:dyDescent="0.25">
      <c r="A1" s="5" t="s">
        <v>867</v>
      </c>
      <c r="B1" s="1" t="s">
        <v>632</v>
      </c>
      <c r="C1" s="1" t="s">
        <v>2</v>
      </c>
      <c r="D1" s="1" t="s">
        <v>873</v>
      </c>
      <c r="E1" s="1" t="s">
        <v>874</v>
      </c>
    </row>
    <row r="2" spans="1:5" x14ac:dyDescent="0.25">
      <c r="A2" s="7">
        <v>1</v>
      </c>
      <c r="B2" t="s">
        <v>665</v>
      </c>
      <c r="C2" s="2" t="s">
        <v>8</v>
      </c>
      <c r="D2">
        <f>COUNTIF('CSC Meetings'!B:B,'CSC Meeting Per Student'!C2)</f>
        <v>2</v>
      </c>
      <c r="E2" t="str">
        <f>+IF(D2&lt;2,"At Risk","Normal")</f>
        <v>Normal</v>
      </c>
    </row>
    <row r="3" spans="1:5" x14ac:dyDescent="0.25">
      <c r="A3" s="7">
        <v>2</v>
      </c>
      <c r="B3" t="s">
        <v>858</v>
      </c>
      <c r="C3" s="2" t="s">
        <v>14</v>
      </c>
      <c r="D3">
        <f>COUNTIF('CSC Meetings'!B:B,'CSC Meeting Per Student'!C3)</f>
        <v>4</v>
      </c>
      <c r="E3" t="str">
        <f t="shared" ref="E3:E66" si="0">+IF(D3&lt;2,"At Risk","Normal")</f>
        <v>Normal</v>
      </c>
    </row>
    <row r="4" spans="1:5" x14ac:dyDescent="0.25">
      <c r="A4" s="7">
        <v>3</v>
      </c>
      <c r="B4" t="s">
        <v>857</v>
      </c>
      <c r="C4" s="2" t="s">
        <v>19</v>
      </c>
      <c r="D4">
        <f>COUNTIF('CSC Meetings'!B:B,'CSC Meeting Per Student'!C4)</f>
        <v>2</v>
      </c>
      <c r="E4" t="str">
        <f t="shared" si="0"/>
        <v>Normal</v>
      </c>
    </row>
    <row r="5" spans="1:5" x14ac:dyDescent="0.25">
      <c r="A5" s="7">
        <v>4</v>
      </c>
      <c r="B5" t="s">
        <v>856</v>
      </c>
      <c r="C5" s="2" t="s">
        <v>23</v>
      </c>
      <c r="D5">
        <f>COUNTIF('CSC Meetings'!B:B,'CSC Meeting Per Student'!C5)</f>
        <v>3</v>
      </c>
      <c r="E5" t="str">
        <f t="shared" si="0"/>
        <v>Normal</v>
      </c>
    </row>
    <row r="6" spans="1:5" x14ac:dyDescent="0.25">
      <c r="A6" s="7">
        <v>5</v>
      </c>
      <c r="B6" t="s">
        <v>685</v>
      </c>
      <c r="C6" s="2" t="s">
        <v>27</v>
      </c>
      <c r="D6">
        <f>COUNTIF('CSC Meetings'!B:B,'CSC Meeting Per Student'!C6)</f>
        <v>2</v>
      </c>
      <c r="E6" t="str">
        <f t="shared" si="0"/>
        <v>Normal</v>
      </c>
    </row>
    <row r="7" spans="1:5" x14ac:dyDescent="0.25">
      <c r="A7" s="7">
        <v>6</v>
      </c>
      <c r="B7" t="s">
        <v>855</v>
      </c>
      <c r="C7" s="2" t="s">
        <v>30</v>
      </c>
      <c r="D7">
        <f>COUNTIF('CSC Meetings'!B:B,'CSC Meeting Per Student'!C7)</f>
        <v>4</v>
      </c>
      <c r="E7" t="str">
        <f t="shared" si="0"/>
        <v>Normal</v>
      </c>
    </row>
    <row r="8" spans="1:5" x14ac:dyDescent="0.25">
      <c r="A8" s="7">
        <v>7</v>
      </c>
      <c r="B8" t="s">
        <v>758</v>
      </c>
      <c r="C8" s="2" t="s">
        <v>33</v>
      </c>
      <c r="D8">
        <f>COUNTIF('CSC Meetings'!B:B,'CSC Meeting Per Student'!C8)</f>
        <v>4</v>
      </c>
      <c r="E8" t="str">
        <f t="shared" si="0"/>
        <v>Normal</v>
      </c>
    </row>
    <row r="9" spans="1:5" x14ac:dyDescent="0.25">
      <c r="A9" s="7">
        <v>8</v>
      </c>
      <c r="B9" t="s">
        <v>711</v>
      </c>
      <c r="C9" s="2" t="s">
        <v>37</v>
      </c>
      <c r="D9">
        <f>COUNTIF('CSC Meetings'!B:B,'CSC Meeting Per Student'!C9)</f>
        <v>3</v>
      </c>
      <c r="E9" t="str">
        <f t="shared" si="0"/>
        <v>Normal</v>
      </c>
    </row>
    <row r="10" spans="1:5" x14ac:dyDescent="0.25">
      <c r="A10" s="7">
        <v>9</v>
      </c>
      <c r="B10" t="s">
        <v>835</v>
      </c>
      <c r="C10" s="2" t="s">
        <v>42</v>
      </c>
      <c r="D10">
        <f>COUNTIF('CSC Meetings'!B:B,'CSC Meeting Per Student'!C10)</f>
        <v>1</v>
      </c>
      <c r="E10" t="str">
        <f t="shared" si="0"/>
        <v>At Risk</v>
      </c>
    </row>
    <row r="11" spans="1:5" x14ac:dyDescent="0.25">
      <c r="A11" s="7">
        <v>10</v>
      </c>
      <c r="B11" t="s">
        <v>854</v>
      </c>
      <c r="C11" s="2" t="s">
        <v>46</v>
      </c>
      <c r="D11">
        <f>COUNTIF('CSC Meetings'!B:B,'CSC Meeting Per Student'!C11)</f>
        <v>1</v>
      </c>
      <c r="E11" t="str">
        <f t="shared" si="0"/>
        <v>At Risk</v>
      </c>
    </row>
    <row r="12" spans="1:5" x14ac:dyDescent="0.25">
      <c r="A12" s="7">
        <v>11</v>
      </c>
      <c r="B12" t="s">
        <v>693</v>
      </c>
      <c r="C12" s="2" t="s">
        <v>50</v>
      </c>
      <c r="D12">
        <f>COUNTIF('CSC Meetings'!B:B,'CSC Meeting Per Student'!C12)</f>
        <v>2</v>
      </c>
      <c r="E12" t="str">
        <f t="shared" si="0"/>
        <v>Normal</v>
      </c>
    </row>
    <row r="13" spans="1:5" x14ac:dyDescent="0.25">
      <c r="A13" s="7">
        <v>12</v>
      </c>
      <c r="B13" t="s">
        <v>860</v>
      </c>
      <c r="C13" s="2" t="s">
        <v>54</v>
      </c>
      <c r="D13">
        <f>COUNTIF('CSC Meetings'!B:B,'CSC Meeting Per Student'!C13)</f>
        <v>4</v>
      </c>
      <c r="E13" t="str">
        <f t="shared" si="0"/>
        <v>Normal</v>
      </c>
    </row>
    <row r="14" spans="1:5" x14ac:dyDescent="0.25">
      <c r="A14" s="7">
        <v>13</v>
      </c>
      <c r="B14" t="s">
        <v>652</v>
      </c>
      <c r="C14" s="2" t="s">
        <v>56</v>
      </c>
      <c r="D14">
        <f>COUNTIF('CSC Meetings'!B:B,'CSC Meeting Per Student'!C14)</f>
        <v>1</v>
      </c>
      <c r="E14" t="str">
        <f t="shared" si="0"/>
        <v>At Risk</v>
      </c>
    </row>
    <row r="15" spans="1:5" x14ac:dyDescent="0.25">
      <c r="A15" s="7">
        <v>14</v>
      </c>
      <c r="B15" t="s">
        <v>808</v>
      </c>
      <c r="C15" s="2" t="s">
        <v>60</v>
      </c>
      <c r="D15">
        <f>COUNTIF('CSC Meetings'!B:B,'CSC Meeting Per Student'!C15)</f>
        <v>4</v>
      </c>
      <c r="E15" t="str">
        <f t="shared" si="0"/>
        <v>Normal</v>
      </c>
    </row>
    <row r="16" spans="1:5" x14ac:dyDescent="0.25">
      <c r="A16" s="7">
        <v>15</v>
      </c>
      <c r="B16" t="s">
        <v>853</v>
      </c>
      <c r="C16" s="2" t="s">
        <v>63</v>
      </c>
      <c r="D16">
        <f>COUNTIF('CSC Meetings'!B:B,'CSC Meeting Per Student'!C16)</f>
        <v>4</v>
      </c>
      <c r="E16" t="str">
        <f t="shared" si="0"/>
        <v>Normal</v>
      </c>
    </row>
    <row r="17" spans="1:5" x14ac:dyDescent="0.25">
      <c r="A17" s="7">
        <v>16</v>
      </c>
      <c r="B17" t="s">
        <v>783</v>
      </c>
      <c r="C17" s="2" t="s">
        <v>66</v>
      </c>
      <c r="D17">
        <f>COUNTIF('CSC Meetings'!B:B,'CSC Meeting Per Student'!C17)</f>
        <v>1</v>
      </c>
      <c r="E17" t="str">
        <f t="shared" si="0"/>
        <v>At Risk</v>
      </c>
    </row>
    <row r="18" spans="1:5" x14ac:dyDescent="0.25">
      <c r="A18" s="7">
        <v>17</v>
      </c>
      <c r="B18" t="s">
        <v>710</v>
      </c>
      <c r="C18" s="2" t="s">
        <v>69</v>
      </c>
      <c r="D18">
        <f>COUNTIF('CSC Meetings'!B:B,'CSC Meeting Per Student'!C18)</f>
        <v>2</v>
      </c>
      <c r="E18" t="str">
        <f t="shared" si="0"/>
        <v>Normal</v>
      </c>
    </row>
    <row r="19" spans="1:5" x14ac:dyDescent="0.25">
      <c r="A19" s="7">
        <v>18</v>
      </c>
      <c r="B19" t="s">
        <v>852</v>
      </c>
      <c r="C19" s="2" t="s">
        <v>72</v>
      </c>
      <c r="D19">
        <f>COUNTIF('CSC Meetings'!B:B,'CSC Meeting Per Student'!C19)</f>
        <v>2</v>
      </c>
      <c r="E19" t="str">
        <f t="shared" si="0"/>
        <v>Normal</v>
      </c>
    </row>
    <row r="20" spans="1:5" x14ac:dyDescent="0.25">
      <c r="A20" s="7">
        <v>19</v>
      </c>
      <c r="B20" t="s">
        <v>851</v>
      </c>
      <c r="C20" s="2" t="s">
        <v>74</v>
      </c>
      <c r="D20">
        <f>COUNTIF('CSC Meetings'!B:B,'CSC Meeting Per Student'!C20)</f>
        <v>4</v>
      </c>
      <c r="E20" t="str">
        <f t="shared" si="0"/>
        <v>Normal</v>
      </c>
    </row>
    <row r="21" spans="1:5" x14ac:dyDescent="0.25">
      <c r="A21" s="7">
        <v>20</v>
      </c>
      <c r="B21" t="s">
        <v>684</v>
      </c>
      <c r="C21" s="2" t="s">
        <v>77</v>
      </c>
      <c r="D21">
        <f>COUNTIF('CSC Meetings'!B:B,'CSC Meeting Per Student'!C21)</f>
        <v>2</v>
      </c>
      <c r="E21" t="str">
        <f t="shared" si="0"/>
        <v>Normal</v>
      </c>
    </row>
    <row r="22" spans="1:5" x14ac:dyDescent="0.25">
      <c r="A22" s="7">
        <v>21</v>
      </c>
      <c r="B22" t="s">
        <v>850</v>
      </c>
      <c r="C22" s="2" t="s">
        <v>81</v>
      </c>
      <c r="D22">
        <f>COUNTIF('CSC Meetings'!B:B,'CSC Meeting Per Student'!C22)</f>
        <v>4</v>
      </c>
      <c r="E22" t="str">
        <f t="shared" si="0"/>
        <v>Normal</v>
      </c>
    </row>
    <row r="23" spans="1:5" x14ac:dyDescent="0.25">
      <c r="A23" s="7">
        <v>22</v>
      </c>
      <c r="B23" t="s">
        <v>833</v>
      </c>
      <c r="C23" s="2" t="s">
        <v>84</v>
      </c>
      <c r="D23">
        <f>COUNTIF('CSC Meetings'!B:B,'CSC Meeting Per Student'!C23)</f>
        <v>1</v>
      </c>
      <c r="E23" t="str">
        <f t="shared" si="0"/>
        <v>At Risk</v>
      </c>
    </row>
    <row r="24" spans="1:5" x14ac:dyDescent="0.25">
      <c r="A24" s="7">
        <v>23</v>
      </c>
      <c r="B24" t="s">
        <v>848</v>
      </c>
      <c r="C24" s="2" t="s">
        <v>87</v>
      </c>
      <c r="D24">
        <f>COUNTIF('CSC Meetings'!B:B,'CSC Meeting Per Student'!C24)</f>
        <v>1</v>
      </c>
      <c r="E24" t="str">
        <f t="shared" si="0"/>
        <v>At Risk</v>
      </c>
    </row>
    <row r="25" spans="1:5" x14ac:dyDescent="0.25">
      <c r="A25" s="7">
        <v>24</v>
      </c>
      <c r="B25" t="s">
        <v>849</v>
      </c>
      <c r="C25" s="2" t="s">
        <v>90</v>
      </c>
      <c r="D25">
        <f>COUNTIF('CSC Meetings'!B:B,'CSC Meeting Per Student'!C25)</f>
        <v>3</v>
      </c>
      <c r="E25" t="str">
        <f t="shared" si="0"/>
        <v>Normal</v>
      </c>
    </row>
    <row r="26" spans="1:5" x14ac:dyDescent="0.25">
      <c r="A26" s="7">
        <v>25</v>
      </c>
      <c r="B26" t="s">
        <v>844</v>
      </c>
      <c r="C26" s="2" t="s">
        <v>93</v>
      </c>
      <c r="D26">
        <f>COUNTIF('CSC Meetings'!B:B,'CSC Meeting Per Student'!C26)</f>
        <v>4</v>
      </c>
      <c r="E26" t="str">
        <f t="shared" si="0"/>
        <v>Normal</v>
      </c>
    </row>
    <row r="27" spans="1:5" x14ac:dyDescent="0.25">
      <c r="A27" s="7">
        <v>26</v>
      </c>
      <c r="B27" t="s">
        <v>846</v>
      </c>
      <c r="C27" s="2" t="s">
        <v>96</v>
      </c>
      <c r="D27">
        <f>COUNTIF('CSC Meetings'!B:B,'CSC Meeting Per Student'!C27)</f>
        <v>3</v>
      </c>
      <c r="E27" t="str">
        <f t="shared" si="0"/>
        <v>Normal</v>
      </c>
    </row>
    <row r="28" spans="1:5" x14ac:dyDescent="0.25">
      <c r="A28" s="7">
        <v>27</v>
      </c>
      <c r="B28" t="s">
        <v>650</v>
      </c>
      <c r="C28" s="2" t="s">
        <v>99</v>
      </c>
      <c r="D28">
        <f>COUNTIF('CSC Meetings'!B:B,'CSC Meeting Per Student'!C28)</f>
        <v>1</v>
      </c>
      <c r="E28" t="str">
        <f t="shared" si="0"/>
        <v>At Risk</v>
      </c>
    </row>
    <row r="29" spans="1:5" x14ac:dyDescent="0.25">
      <c r="A29" s="7">
        <v>28</v>
      </c>
      <c r="B29" t="s">
        <v>845</v>
      </c>
      <c r="C29" s="2" t="s">
        <v>102</v>
      </c>
      <c r="D29">
        <f>COUNTIF('CSC Meetings'!B:B,'CSC Meeting Per Student'!C29)</f>
        <v>2</v>
      </c>
      <c r="E29" t="str">
        <f t="shared" si="0"/>
        <v>Normal</v>
      </c>
    </row>
    <row r="30" spans="1:5" x14ac:dyDescent="0.25">
      <c r="A30" s="7">
        <v>29</v>
      </c>
      <c r="B30" t="s">
        <v>701</v>
      </c>
      <c r="C30" s="2" t="s">
        <v>105</v>
      </c>
      <c r="D30">
        <f>COUNTIF('CSC Meetings'!B:B,'CSC Meeting Per Student'!C30)</f>
        <v>4</v>
      </c>
      <c r="E30" t="str">
        <f t="shared" si="0"/>
        <v>Normal</v>
      </c>
    </row>
    <row r="31" spans="1:5" x14ac:dyDescent="0.25">
      <c r="A31" s="7">
        <v>30</v>
      </c>
      <c r="B31" t="s">
        <v>843</v>
      </c>
      <c r="C31" s="2" t="s">
        <v>108</v>
      </c>
      <c r="D31">
        <f>COUNTIF('CSC Meetings'!B:B,'CSC Meeting Per Student'!C31)</f>
        <v>3</v>
      </c>
      <c r="E31" t="str">
        <f t="shared" si="0"/>
        <v>Normal</v>
      </c>
    </row>
    <row r="32" spans="1:5" x14ac:dyDescent="0.25">
      <c r="A32" s="7">
        <v>31</v>
      </c>
      <c r="B32" t="s">
        <v>837</v>
      </c>
      <c r="C32" s="2" t="s">
        <v>111</v>
      </c>
      <c r="D32">
        <f>COUNTIF('CSC Meetings'!B:B,'CSC Meeting Per Student'!C32)</f>
        <v>3</v>
      </c>
      <c r="E32" t="str">
        <f t="shared" si="0"/>
        <v>Normal</v>
      </c>
    </row>
    <row r="33" spans="1:5" x14ac:dyDescent="0.25">
      <c r="A33" s="7">
        <v>32</v>
      </c>
      <c r="B33" t="s">
        <v>649</v>
      </c>
      <c r="C33" s="2" t="s">
        <v>113</v>
      </c>
      <c r="D33">
        <f>COUNTIF('CSC Meetings'!B:B,'CSC Meeting Per Student'!C33)</f>
        <v>2</v>
      </c>
      <c r="E33" t="str">
        <f t="shared" si="0"/>
        <v>Normal</v>
      </c>
    </row>
    <row r="34" spans="1:5" x14ac:dyDescent="0.25">
      <c r="A34" s="7">
        <v>33</v>
      </c>
      <c r="B34" t="s">
        <v>683</v>
      </c>
      <c r="C34" s="2" t="s">
        <v>116</v>
      </c>
      <c r="D34">
        <f>COUNTIF('CSC Meetings'!B:B,'CSC Meeting Per Student'!C34)</f>
        <v>2</v>
      </c>
      <c r="E34" t="str">
        <f t="shared" si="0"/>
        <v>Normal</v>
      </c>
    </row>
    <row r="35" spans="1:5" x14ac:dyDescent="0.25">
      <c r="A35" s="7">
        <v>34</v>
      </c>
      <c r="B35" t="s">
        <v>675</v>
      </c>
      <c r="C35" s="2" t="s">
        <v>119</v>
      </c>
      <c r="D35">
        <f>COUNTIF('CSC Meetings'!B:B,'CSC Meeting Per Student'!C35)</f>
        <v>4</v>
      </c>
      <c r="E35" t="str">
        <f t="shared" si="0"/>
        <v>Normal</v>
      </c>
    </row>
    <row r="36" spans="1:5" x14ac:dyDescent="0.25">
      <c r="A36" s="7">
        <v>35</v>
      </c>
      <c r="B36" t="s">
        <v>738</v>
      </c>
      <c r="C36" s="2" t="s">
        <v>122</v>
      </c>
      <c r="D36">
        <f>COUNTIF('CSC Meetings'!B:B,'CSC Meeting Per Student'!C36)</f>
        <v>4</v>
      </c>
      <c r="E36" t="str">
        <f t="shared" si="0"/>
        <v>Normal</v>
      </c>
    </row>
    <row r="37" spans="1:5" x14ac:dyDescent="0.25">
      <c r="A37" s="7">
        <v>36</v>
      </c>
      <c r="B37" t="s">
        <v>836</v>
      </c>
      <c r="C37" s="2" t="s">
        <v>124</v>
      </c>
      <c r="D37">
        <f>COUNTIF('CSC Meetings'!B:B,'CSC Meeting Per Student'!C37)</f>
        <v>4</v>
      </c>
      <c r="E37" t="str">
        <f t="shared" si="0"/>
        <v>Normal</v>
      </c>
    </row>
    <row r="38" spans="1:5" x14ac:dyDescent="0.25">
      <c r="A38" s="7">
        <v>37</v>
      </c>
      <c r="B38" t="s">
        <v>834</v>
      </c>
      <c r="C38" s="2" t="s">
        <v>127</v>
      </c>
      <c r="D38">
        <f>COUNTIF('CSC Meetings'!B:B,'CSC Meeting Per Student'!C38)</f>
        <v>4</v>
      </c>
      <c r="E38" t="str">
        <f t="shared" si="0"/>
        <v>Normal</v>
      </c>
    </row>
    <row r="39" spans="1:5" x14ac:dyDescent="0.25">
      <c r="A39" s="7">
        <v>38</v>
      </c>
      <c r="B39" t="s">
        <v>822</v>
      </c>
      <c r="C39" s="2" t="s">
        <v>130</v>
      </c>
      <c r="D39">
        <f>COUNTIF('CSC Meetings'!B:B,'CSC Meeting Per Student'!C39)</f>
        <v>1</v>
      </c>
      <c r="E39" t="str">
        <f t="shared" si="0"/>
        <v>At Risk</v>
      </c>
    </row>
    <row r="40" spans="1:5" x14ac:dyDescent="0.25">
      <c r="A40" s="7">
        <v>39</v>
      </c>
      <c r="B40" t="s">
        <v>823</v>
      </c>
      <c r="C40" s="2" t="s">
        <v>132</v>
      </c>
      <c r="D40">
        <f>COUNTIF('CSC Meetings'!B:B,'CSC Meeting Per Student'!C40)</f>
        <v>4</v>
      </c>
      <c r="E40" t="str">
        <f t="shared" si="0"/>
        <v>Normal</v>
      </c>
    </row>
    <row r="41" spans="1:5" x14ac:dyDescent="0.25">
      <c r="A41" s="7">
        <v>40</v>
      </c>
      <c r="B41" t="s">
        <v>743</v>
      </c>
      <c r="C41" s="2" t="s">
        <v>134</v>
      </c>
      <c r="D41">
        <f>COUNTIF('CSC Meetings'!B:B,'CSC Meeting Per Student'!C41)</f>
        <v>4</v>
      </c>
      <c r="E41" t="str">
        <f t="shared" si="0"/>
        <v>Normal</v>
      </c>
    </row>
    <row r="42" spans="1:5" x14ac:dyDescent="0.25">
      <c r="A42" s="7">
        <v>41</v>
      </c>
      <c r="B42" t="s">
        <v>674</v>
      </c>
      <c r="C42" s="2" t="s">
        <v>137</v>
      </c>
      <c r="D42">
        <f>COUNTIF('CSC Meetings'!B:B,'CSC Meeting Per Student'!C42)</f>
        <v>2</v>
      </c>
      <c r="E42" t="str">
        <f t="shared" si="0"/>
        <v>Normal</v>
      </c>
    </row>
    <row r="43" spans="1:5" x14ac:dyDescent="0.25">
      <c r="A43" s="7">
        <v>42</v>
      </c>
      <c r="B43" t="s">
        <v>832</v>
      </c>
      <c r="C43" s="2" t="s">
        <v>140</v>
      </c>
      <c r="D43">
        <f>COUNTIF('CSC Meetings'!B:B,'CSC Meeting Per Student'!C43)</f>
        <v>4</v>
      </c>
      <c r="E43" t="str">
        <f t="shared" si="0"/>
        <v>Normal</v>
      </c>
    </row>
    <row r="44" spans="1:5" x14ac:dyDescent="0.25">
      <c r="A44" s="7">
        <v>43</v>
      </c>
      <c r="B44" t="s">
        <v>827</v>
      </c>
      <c r="C44" s="2" t="s">
        <v>143</v>
      </c>
      <c r="D44">
        <f>COUNTIF('CSC Meetings'!B:B,'CSC Meeting Per Student'!C44)</f>
        <v>2</v>
      </c>
      <c r="E44" t="str">
        <f t="shared" si="0"/>
        <v>Normal</v>
      </c>
    </row>
    <row r="45" spans="1:5" x14ac:dyDescent="0.25">
      <c r="A45" s="7">
        <v>44</v>
      </c>
      <c r="B45" t="s">
        <v>821</v>
      </c>
      <c r="C45" s="2" t="s">
        <v>146</v>
      </c>
      <c r="D45">
        <f>COUNTIF('CSC Meetings'!B:B,'CSC Meeting Per Student'!C45)</f>
        <v>4</v>
      </c>
      <c r="E45" t="str">
        <f t="shared" si="0"/>
        <v>Normal</v>
      </c>
    </row>
    <row r="46" spans="1:5" x14ac:dyDescent="0.25">
      <c r="A46" s="7">
        <v>45</v>
      </c>
      <c r="B46" t="s">
        <v>825</v>
      </c>
      <c r="C46" s="2" t="s">
        <v>149</v>
      </c>
      <c r="D46">
        <f>COUNTIF('CSC Meetings'!B:B,'CSC Meeting Per Student'!C46)</f>
        <v>4</v>
      </c>
      <c r="E46" t="str">
        <f t="shared" si="0"/>
        <v>Normal</v>
      </c>
    </row>
    <row r="47" spans="1:5" x14ac:dyDescent="0.25">
      <c r="A47" s="7">
        <v>46</v>
      </c>
      <c r="B47" t="s">
        <v>824</v>
      </c>
      <c r="C47" s="2" t="s">
        <v>152</v>
      </c>
      <c r="D47">
        <f>COUNTIF('CSC Meetings'!B:B,'CSC Meeting Per Student'!C47)</f>
        <v>4</v>
      </c>
      <c r="E47" t="str">
        <f t="shared" si="0"/>
        <v>Normal</v>
      </c>
    </row>
    <row r="48" spans="1:5" x14ac:dyDescent="0.25">
      <c r="A48" s="7">
        <v>47</v>
      </c>
      <c r="B48" t="s">
        <v>751</v>
      </c>
      <c r="C48" s="2" t="s">
        <v>155</v>
      </c>
      <c r="D48">
        <f>COUNTIF('CSC Meetings'!B:B,'CSC Meeting Per Student'!C48)</f>
        <v>4</v>
      </c>
      <c r="E48" t="str">
        <f t="shared" si="0"/>
        <v>Normal</v>
      </c>
    </row>
    <row r="49" spans="1:5" x14ac:dyDescent="0.25">
      <c r="A49" s="7">
        <v>48</v>
      </c>
      <c r="B49" t="s">
        <v>830</v>
      </c>
      <c r="C49" s="2" t="s">
        <v>158</v>
      </c>
      <c r="D49">
        <f>COUNTIF('CSC Meetings'!B:B,'CSC Meeting Per Student'!C49)</f>
        <v>4</v>
      </c>
      <c r="E49" t="str">
        <f t="shared" si="0"/>
        <v>Normal</v>
      </c>
    </row>
    <row r="50" spans="1:5" x14ac:dyDescent="0.25">
      <c r="A50" s="7">
        <v>49</v>
      </c>
      <c r="B50" t="s">
        <v>682</v>
      </c>
      <c r="C50" s="2" t="s">
        <v>161</v>
      </c>
      <c r="D50">
        <f>COUNTIF('CSC Meetings'!B:B,'CSC Meeting Per Student'!C50)</f>
        <v>0</v>
      </c>
      <c r="E50" t="str">
        <f t="shared" si="0"/>
        <v>At Risk</v>
      </c>
    </row>
    <row r="51" spans="1:5" x14ac:dyDescent="0.25">
      <c r="A51" s="7">
        <v>50</v>
      </c>
      <c r="B51" t="s">
        <v>829</v>
      </c>
      <c r="C51" s="2" t="s">
        <v>164</v>
      </c>
      <c r="D51">
        <f>COUNTIF('CSC Meetings'!B:B,'CSC Meeting Per Student'!C51)</f>
        <v>4</v>
      </c>
      <c r="E51" t="str">
        <f t="shared" si="0"/>
        <v>Normal</v>
      </c>
    </row>
    <row r="52" spans="1:5" x14ac:dyDescent="0.25">
      <c r="A52" s="7">
        <v>51</v>
      </c>
      <c r="B52" t="s">
        <v>831</v>
      </c>
      <c r="C52" s="2" t="s">
        <v>167</v>
      </c>
      <c r="D52">
        <f>COUNTIF('CSC Meetings'!B:B,'CSC Meeting Per Student'!C52)</f>
        <v>4</v>
      </c>
      <c r="E52" t="str">
        <f t="shared" si="0"/>
        <v>Normal</v>
      </c>
    </row>
    <row r="53" spans="1:5" x14ac:dyDescent="0.25">
      <c r="A53" s="7">
        <v>52</v>
      </c>
      <c r="B53" t="s">
        <v>828</v>
      </c>
      <c r="C53" s="2" t="s">
        <v>170</v>
      </c>
      <c r="D53">
        <f>COUNTIF('CSC Meetings'!B:B,'CSC Meeting Per Student'!C53)</f>
        <v>0</v>
      </c>
      <c r="E53" t="str">
        <f t="shared" si="0"/>
        <v>At Risk</v>
      </c>
    </row>
    <row r="54" spans="1:5" x14ac:dyDescent="0.25">
      <c r="A54" s="7">
        <v>53</v>
      </c>
      <c r="B54" t="s">
        <v>819</v>
      </c>
      <c r="C54" s="2" t="s">
        <v>173</v>
      </c>
      <c r="D54">
        <f>COUNTIF('CSC Meetings'!B:B,'CSC Meeting Per Student'!C54)</f>
        <v>4</v>
      </c>
      <c r="E54" t="str">
        <f t="shared" si="0"/>
        <v>Normal</v>
      </c>
    </row>
    <row r="55" spans="1:5" x14ac:dyDescent="0.25">
      <c r="A55" s="7">
        <v>54</v>
      </c>
      <c r="B55" t="s">
        <v>814</v>
      </c>
      <c r="C55" s="2" t="s">
        <v>175</v>
      </c>
      <c r="D55">
        <f>COUNTIF('CSC Meetings'!B:B,'CSC Meeting Per Student'!C55)</f>
        <v>4</v>
      </c>
      <c r="E55" t="str">
        <f t="shared" si="0"/>
        <v>Normal</v>
      </c>
    </row>
    <row r="56" spans="1:5" x14ac:dyDescent="0.25">
      <c r="A56" s="7">
        <v>55</v>
      </c>
      <c r="B56" t="s">
        <v>812</v>
      </c>
      <c r="C56" s="2" t="s">
        <v>178</v>
      </c>
      <c r="D56">
        <f>COUNTIF('CSC Meetings'!B:B,'CSC Meeting Per Student'!C56)</f>
        <v>3</v>
      </c>
      <c r="E56" t="str">
        <f t="shared" si="0"/>
        <v>Normal</v>
      </c>
    </row>
    <row r="57" spans="1:5" x14ac:dyDescent="0.25">
      <c r="A57" s="7">
        <v>56</v>
      </c>
      <c r="B57" t="s">
        <v>841</v>
      </c>
      <c r="C57" s="2" t="s">
        <v>181</v>
      </c>
      <c r="D57">
        <f>COUNTIF('CSC Meetings'!B:B,'CSC Meeting Per Student'!C57)</f>
        <v>3</v>
      </c>
      <c r="E57" t="str">
        <f t="shared" si="0"/>
        <v>Normal</v>
      </c>
    </row>
    <row r="58" spans="1:5" x14ac:dyDescent="0.25">
      <c r="A58" s="7">
        <v>57</v>
      </c>
      <c r="B58" t="s">
        <v>817</v>
      </c>
      <c r="C58" s="2" t="s">
        <v>184</v>
      </c>
      <c r="D58">
        <f>COUNTIF('CSC Meetings'!B:B,'CSC Meeting Per Student'!C58)</f>
        <v>4</v>
      </c>
      <c r="E58" t="str">
        <f t="shared" si="0"/>
        <v>Normal</v>
      </c>
    </row>
    <row r="59" spans="1:5" x14ac:dyDescent="0.25">
      <c r="A59" s="7">
        <v>58</v>
      </c>
      <c r="B59" t="s">
        <v>759</v>
      </c>
      <c r="C59" s="2" t="s">
        <v>187</v>
      </c>
      <c r="D59">
        <f>COUNTIF('CSC Meetings'!B:B,'CSC Meeting Per Student'!C59)</f>
        <v>1</v>
      </c>
      <c r="E59" t="str">
        <f t="shared" si="0"/>
        <v>At Risk</v>
      </c>
    </row>
    <row r="60" spans="1:5" x14ac:dyDescent="0.25">
      <c r="A60" s="7">
        <v>59</v>
      </c>
      <c r="B60" t="s">
        <v>740</v>
      </c>
      <c r="C60" s="2" t="s">
        <v>190</v>
      </c>
      <c r="D60">
        <f>COUNTIF('CSC Meetings'!B:B,'CSC Meeting Per Student'!C60)</f>
        <v>4</v>
      </c>
      <c r="E60" t="str">
        <f t="shared" si="0"/>
        <v>Normal</v>
      </c>
    </row>
    <row r="61" spans="1:5" x14ac:dyDescent="0.25">
      <c r="A61" s="7">
        <v>60</v>
      </c>
      <c r="B61" t="s">
        <v>815</v>
      </c>
      <c r="C61" s="2" t="s">
        <v>193</v>
      </c>
      <c r="D61">
        <f>COUNTIF('CSC Meetings'!B:B,'CSC Meeting Per Student'!C61)</f>
        <v>4</v>
      </c>
      <c r="E61" t="str">
        <f t="shared" si="0"/>
        <v>Normal</v>
      </c>
    </row>
    <row r="62" spans="1:5" x14ac:dyDescent="0.25">
      <c r="A62" s="7">
        <v>61</v>
      </c>
      <c r="B62" t="s">
        <v>729</v>
      </c>
      <c r="C62" s="2" t="s">
        <v>196</v>
      </c>
      <c r="D62">
        <f>COUNTIF('CSC Meetings'!B:B,'CSC Meeting Per Student'!C62)</f>
        <v>4</v>
      </c>
      <c r="E62" t="str">
        <f t="shared" si="0"/>
        <v>Normal</v>
      </c>
    </row>
    <row r="63" spans="1:5" x14ac:dyDescent="0.25">
      <c r="A63" s="7">
        <v>62</v>
      </c>
      <c r="B63" t="s">
        <v>648</v>
      </c>
      <c r="C63" s="2" t="s">
        <v>199</v>
      </c>
      <c r="D63">
        <f>COUNTIF('CSC Meetings'!B:B,'CSC Meeting Per Student'!C63)</f>
        <v>2</v>
      </c>
      <c r="E63" t="str">
        <f t="shared" si="0"/>
        <v>Normal</v>
      </c>
    </row>
    <row r="64" spans="1:5" x14ac:dyDescent="0.25">
      <c r="A64" s="7">
        <v>63</v>
      </c>
      <c r="B64" t="s">
        <v>689</v>
      </c>
      <c r="C64" s="2" t="s">
        <v>202</v>
      </c>
      <c r="D64">
        <f>COUNTIF('CSC Meetings'!B:B,'CSC Meeting Per Student'!C64)</f>
        <v>4</v>
      </c>
      <c r="E64" t="str">
        <f t="shared" si="0"/>
        <v>Normal</v>
      </c>
    </row>
    <row r="65" spans="1:5" x14ac:dyDescent="0.25">
      <c r="A65" s="7">
        <v>64</v>
      </c>
      <c r="B65" t="s">
        <v>811</v>
      </c>
      <c r="C65" s="2" t="s">
        <v>205</v>
      </c>
      <c r="D65">
        <f>COUNTIF('CSC Meetings'!B:B,'CSC Meeting Per Student'!C65)</f>
        <v>4</v>
      </c>
      <c r="E65" t="str">
        <f t="shared" si="0"/>
        <v>Normal</v>
      </c>
    </row>
    <row r="66" spans="1:5" x14ac:dyDescent="0.25">
      <c r="A66" s="7">
        <v>65</v>
      </c>
      <c r="B66" t="s">
        <v>810</v>
      </c>
      <c r="C66" s="2" t="s">
        <v>208</v>
      </c>
      <c r="D66">
        <f>COUNTIF('CSC Meetings'!B:B,'CSC Meeting Per Student'!C66)</f>
        <v>4</v>
      </c>
      <c r="E66" t="str">
        <f t="shared" si="0"/>
        <v>Normal</v>
      </c>
    </row>
    <row r="67" spans="1:5" x14ac:dyDescent="0.25">
      <c r="A67" s="7">
        <v>66</v>
      </c>
      <c r="B67" t="s">
        <v>809</v>
      </c>
      <c r="C67" s="2" t="s">
        <v>211</v>
      </c>
      <c r="D67">
        <f>COUNTIF('CSC Meetings'!B:B,'CSC Meeting Per Student'!C67)</f>
        <v>2</v>
      </c>
      <c r="E67" t="str">
        <f t="shared" ref="E67:E130" si="1">+IF(D67&lt;2,"At Risk","Normal")</f>
        <v>Normal</v>
      </c>
    </row>
    <row r="68" spans="1:5" x14ac:dyDescent="0.25">
      <c r="A68" s="7">
        <v>67</v>
      </c>
      <c r="B68" t="s">
        <v>700</v>
      </c>
      <c r="C68" s="2" t="s">
        <v>214</v>
      </c>
      <c r="D68">
        <f>COUNTIF('CSC Meetings'!B:B,'CSC Meeting Per Student'!C68)</f>
        <v>4</v>
      </c>
      <c r="E68" t="str">
        <f t="shared" si="1"/>
        <v>Normal</v>
      </c>
    </row>
    <row r="69" spans="1:5" x14ac:dyDescent="0.25">
      <c r="A69" s="7">
        <v>68</v>
      </c>
      <c r="B69" t="s">
        <v>806</v>
      </c>
      <c r="C69" s="2" t="s">
        <v>217</v>
      </c>
      <c r="D69">
        <f>COUNTIF('CSC Meetings'!B:B,'CSC Meeting Per Student'!C69)</f>
        <v>4</v>
      </c>
      <c r="E69" t="str">
        <f t="shared" si="1"/>
        <v>Normal</v>
      </c>
    </row>
    <row r="70" spans="1:5" x14ac:dyDescent="0.25">
      <c r="A70" s="7">
        <v>69</v>
      </c>
      <c r="B70" t="s">
        <v>805</v>
      </c>
      <c r="C70" s="2" t="s">
        <v>220</v>
      </c>
      <c r="D70">
        <f>COUNTIF('CSC Meetings'!B:B,'CSC Meeting Per Student'!C70)</f>
        <v>4</v>
      </c>
      <c r="E70" t="str">
        <f t="shared" si="1"/>
        <v>Normal</v>
      </c>
    </row>
    <row r="71" spans="1:5" x14ac:dyDescent="0.25">
      <c r="A71" s="7">
        <v>70</v>
      </c>
      <c r="B71" t="s">
        <v>804</v>
      </c>
      <c r="C71" s="2" t="s">
        <v>223</v>
      </c>
      <c r="D71">
        <f>COUNTIF('CSC Meetings'!B:B,'CSC Meeting Per Student'!C71)</f>
        <v>4</v>
      </c>
      <c r="E71" t="str">
        <f t="shared" si="1"/>
        <v>Normal</v>
      </c>
    </row>
    <row r="72" spans="1:5" x14ac:dyDescent="0.25">
      <c r="A72" s="7">
        <v>71</v>
      </c>
      <c r="B72" t="s">
        <v>803</v>
      </c>
      <c r="C72" s="2" t="s">
        <v>226</v>
      </c>
      <c r="D72">
        <f>COUNTIF('CSC Meetings'!B:B,'CSC Meeting Per Student'!C72)</f>
        <v>4</v>
      </c>
      <c r="E72" t="str">
        <f t="shared" si="1"/>
        <v>Normal</v>
      </c>
    </row>
    <row r="73" spans="1:5" x14ac:dyDescent="0.25">
      <c r="A73" s="7">
        <v>72</v>
      </c>
      <c r="B73" t="s">
        <v>799</v>
      </c>
      <c r="C73" s="2" t="s">
        <v>229</v>
      </c>
      <c r="D73">
        <f>COUNTIF('CSC Meetings'!B:B,'CSC Meeting Per Student'!C73)</f>
        <v>4</v>
      </c>
      <c r="E73" t="str">
        <f t="shared" si="1"/>
        <v>Normal</v>
      </c>
    </row>
    <row r="74" spans="1:5" x14ac:dyDescent="0.25">
      <c r="A74" s="7">
        <v>73</v>
      </c>
      <c r="B74" t="s">
        <v>798</v>
      </c>
      <c r="C74" s="2" t="s">
        <v>232</v>
      </c>
      <c r="D74">
        <f>COUNTIF('CSC Meetings'!B:B,'CSC Meeting Per Student'!C74)</f>
        <v>4</v>
      </c>
      <c r="E74" t="str">
        <f t="shared" si="1"/>
        <v>Normal</v>
      </c>
    </row>
    <row r="75" spans="1:5" x14ac:dyDescent="0.25">
      <c r="A75" s="7">
        <v>74</v>
      </c>
      <c r="B75" t="s">
        <v>681</v>
      </c>
      <c r="C75" s="2" t="s">
        <v>235</v>
      </c>
      <c r="D75">
        <f>COUNTIF('CSC Meetings'!B:B,'CSC Meeting Per Student'!C75)</f>
        <v>3</v>
      </c>
      <c r="E75" t="str">
        <f t="shared" si="1"/>
        <v>Normal</v>
      </c>
    </row>
    <row r="76" spans="1:5" x14ac:dyDescent="0.25">
      <c r="A76" s="7">
        <v>75</v>
      </c>
      <c r="B76" t="s">
        <v>796</v>
      </c>
      <c r="C76" s="2" t="s">
        <v>238</v>
      </c>
      <c r="D76">
        <f>COUNTIF('CSC Meetings'!B:B,'CSC Meeting Per Student'!C76)</f>
        <v>4</v>
      </c>
      <c r="E76" t="str">
        <f t="shared" si="1"/>
        <v>Normal</v>
      </c>
    </row>
    <row r="77" spans="1:5" x14ac:dyDescent="0.25">
      <c r="A77" s="7">
        <v>76</v>
      </c>
      <c r="B77" t="s">
        <v>861</v>
      </c>
      <c r="C77" s="2" t="s">
        <v>240</v>
      </c>
      <c r="D77">
        <f>COUNTIF('CSC Meetings'!B:B,'CSC Meeting Per Student'!C77)</f>
        <v>6</v>
      </c>
      <c r="E77" t="str">
        <f t="shared" si="1"/>
        <v>Normal</v>
      </c>
    </row>
    <row r="78" spans="1:5" x14ac:dyDescent="0.25">
      <c r="A78" s="7">
        <v>77</v>
      </c>
      <c r="B78" t="s">
        <v>730</v>
      </c>
      <c r="C78" s="2" t="s">
        <v>243</v>
      </c>
      <c r="D78">
        <f>COUNTIF('CSC Meetings'!B:B,'CSC Meeting Per Student'!C78)</f>
        <v>4</v>
      </c>
      <c r="E78" t="str">
        <f t="shared" si="1"/>
        <v>Normal</v>
      </c>
    </row>
    <row r="79" spans="1:5" x14ac:dyDescent="0.25">
      <c r="A79" s="7">
        <v>78</v>
      </c>
      <c r="B79" t="s">
        <v>795</v>
      </c>
      <c r="C79" s="2" t="s">
        <v>245</v>
      </c>
      <c r="D79">
        <f>COUNTIF('CSC Meetings'!B:B,'CSC Meeting Per Student'!C79)</f>
        <v>4</v>
      </c>
      <c r="E79" t="str">
        <f t="shared" si="1"/>
        <v>Normal</v>
      </c>
    </row>
    <row r="80" spans="1:5" x14ac:dyDescent="0.25">
      <c r="A80" s="7">
        <v>79</v>
      </c>
      <c r="B80" t="s">
        <v>792</v>
      </c>
      <c r="C80" s="2" t="s">
        <v>248</v>
      </c>
      <c r="D80">
        <f>COUNTIF('CSC Meetings'!B:B,'CSC Meeting Per Student'!C80)</f>
        <v>0</v>
      </c>
      <c r="E80" t="str">
        <f t="shared" si="1"/>
        <v>At Risk</v>
      </c>
    </row>
    <row r="81" spans="1:5" x14ac:dyDescent="0.25">
      <c r="A81" s="7">
        <v>80</v>
      </c>
      <c r="B81" t="s">
        <v>794</v>
      </c>
      <c r="C81" s="2" t="s">
        <v>251</v>
      </c>
      <c r="D81">
        <f>COUNTIF('CSC Meetings'!B:B,'CSC Meeting Per Student'!C81)</f>
        <v>2</v>
      </c>
      <c r="E81" t="str">
        <f t="shared" si="1"/>
        <v>Normal</v>
      </c>
    </row>
    <row r="82" spans="1:5" x14ac:dyDescent="0.25">
      <c r="A82" s="7">
        <v>81</v>
      </c>
      <c r="B82" t="s">
        <v>771</v>
      </c>
      <c r="C82" s="2" t="s">
        <v>254</v>
      </c>
      <c r="D82">
        <f>COUNTIF('CSC Meetings'!B:B,'CSC Meeting Per Student'!C82)</f>
        <v>4</v>
      </c>
      <c r="E82" t="str">
        <f t="shared" si="1"/>
        <v>Normal</v>
      </c>
    </row>
    <row r="83" spans="1:5" x14ac:dyDescent="0.25">
      <c r="A83" s="7">
        <v>82</v>
      </c>
      <c r="B83" t="s">
        <v>791</v>
      </c>
      <c r="C83" s="2" t="s">
        <v>257</v>
      </c>
      <c r="D83">
        <f>COUNTIF('CSC Meetings'!B:B,'CSC Meeting Per Student'!C83)</f>
        <v>2</v>
      </c>
      <c r="E83" t="str">
        <f t="shared" si="1"/>
        <v>Normal</v>
      </c>
    </row>
    <row r="84" spans="1:5" x14ac:dyDescent="0.25">
      <c r="A84" s="7">
        <v>83</v>
      </c>
      <c r="B84" t="s">
        <v>789</v>
      </c>
      <c r="C84" s="2" t="s">
        <v>260</v>
      </c>
      <c r="D84">
        <f>COUNTIF('CSC Meetings'!B:B,'CSC Meeting Per Student'!C84)</f>
        <v>4</v>
      </c>
      <c r="E84" t="str">
        <f t="shared" si="1"/>
        <v>Normal</v>
      </c>
    </row>
    <row r="85" spans="1:5" x14ac:dyDescent="0.25">
      <c r="A85" s="7">
        <v>84</v>
      </c>
      <c r="B85" t="s">
        <v>790</v>
      </c>
      <c r="C85" s="2" t="s">
        <v>262</v>
      </c>
      <c r="D85">
        <f>COUNTIF('CSC Meetings'!B:B,'CSC Meeting Per Student'!C85)</f>
        <v>0</v>
      </c>
      <c r="E85" t="str">
        <f t="shared" si="1"/>
        <v>At Risk</v>
      </c>
    </row>
    <row r="86" spans="1:5" x14ac:dyDescent="0.25">
      <c r="A86" s="7">
        <v>85</v>
      </c>
      <c r="B86" t="s">
        <v>788</v>
      </c>
      <c r="C86" s="2" t="s">
        <v>264</v>
      </c>
      <c r="D86">
        <f>COUNTIF('CSC Meetings'!B:B,'CSC Meeting Per Student'!C86)</f>
        <v>4</v>
      </c>
      <c r="E86" t="str">
        <f t="shared" si="1"/>
        <v>Normal</v>
      </c>
    </row>
    <row r="87" spans="1:5" x14ac:dyDescent="0.25">
      <c r="A87" s="7">
        <v>86</v>
      </c>
      <c r="B87" t="s">
        <v>785</v>
      </c>
      <c r="C87" s="2" t="s">
        <v>267</v>
      </c>
      <c r="D87">
        <f>COUNTIF('CSC Meetings'!B:B,'CSC Meeting Per Student'!C87)</f>
        <v>4</v>
      </c>
      <c r="E87" t="str">
        <f t="shared" si="1"/>
        <v>Normal</v>
      </c>
    </row>
    <row r="88" spans="1:5" x14ac:dyDescent="0.25">
      <c r="A88" s="7">
        <v>87</v>
      </c>
      <c r="B88" t="s">
        <v>784</v>
      </c>
      <c r="C88" s="2" t="s">
        <v>270</v>
      </c>
      <c r="D88">
        <f>COUNTIF('CSC Meetings'!B:B,'CSC Meeting Per Student'!C88)</f>
        <v>4</v>
      </c>
      <c r="E88" t="str">
        <f t="shared" si="1"/>
        <v>Normal</v>
      </c>
    </row>
    <row r="89" spans="1:5" x14ac:dyDescent="0.25">
      <c r="A89" s="7">
        <v>88</v>
      </c>
      <c r="B89" t="s">
        <v>717</v>
      </c>
      <c r="C89" s="2" t="s">
        <v>273</v>
      </c>
      <c r="D89">
        <f>COUNTIF('CSC Meetings'!B:B,'CSC Meeting Per Student'!C89)</f>
        <v>4</v>
      </c>
      <c r="E89" t="str">
        <f t="shared" si="1"/>
        <v>Normal</v>
      </c>
    </row>
    <row r="90" spans="1:5" x14ac:dyDescent="0.25">
      <c r="A90" s="7">
        <v>89</v>
      </c>
      <c r="B90" t="s">
        <v>670</v>
      </c>
      <c r="C90" s="2" t="s">
        <v>276</v>
      </c>
      <c r="D90">
        <f>COUNTIF('CSC Meetings'!B:B,'CSC Meeting Per Student'!C90)</f>
        <v>2</v>
      </c>
      <c r="E90" t="str">
        <f t="shared" si="1"/>
        <v>Normal</v>
      </c>
    </row>
    <row r="91" spans="1:5" x14ac:dyDescent="0.25">
      <c r="A91" s="7">
        <v>90</v>
      </c>
      <c r="B91" t="s">
        <v>847</v>
      </c>
      <c r="C91" s="2" t="s">
        <v>279</v>
      </c>
      <c r="D91">
        <f>COUNTIF('CSC Meetings'!B:B,'CSC Meeting Per Student'!C91)</f>
        <v>4</v>
      </c>
      <c r="E91" t="str">
        <f t="shared" si="1"/>
        <v>Normal</v>
      </c>
    </row>
    <row r="92" spans="1:5" x14ac:dyDescent="0.25">
      <c r="A92" s="7">
        <v>91</v>
      </c>
      <c r="B92" t="s">
        <v>826</v>
      </c>
      <c r="C92" s="2" t="s">
        <v>282</v>
      </c>
      <c r="D92">
        <f>COUNTIF('CSC Meetings'!B:B,'CSC Meeting Per Student'!C92)</f>
        <v>4</v>
      </c>
      <c r="E92" t="str">
        <f t="shared" si="1"/>
        <v>Normal</v>
      </c>
    </row>
    <row r="93" spans="1:5" x14ac:dyDescent="0.25">
      <c r="A93" s="7">
        <v>92</v>
      </c>
      <c r="B93" t="s">
        <v>782</v>
      </c>
      <c r="C93" s="2" t="s">
        <v>285</v>
      </c>
      <c r="D93">
        <f>COUNTIF('CSC Meetings'!B:B,'CSC Meeting Per Student'!C93)</f>
        <v>4</v>
      </c>
      <c r="E93" t="str">
        <f t="shared" si="1"/>
        <v>Normal</v>
      </c>
    </row>
    <row r="94" spans="1:5" x14ac:dyDescent="0.25">
      <c r="A94" s="7">
        <v>93</v>
      </c>
      <c r="B94" t="s">
        <v>813</v>
      </c>
      <c r="C94" s="2" t="s">
        <v>288</v>
      </c>
      <c r="D94">
        <f>COUNTIF('CSC Meetings'!B:B,'CSC Meeting Per Student'!C94)</f>
        <v>4</v>
      </c>
      <c r="E94" t="str">
        <f t="shared" si="1"/>
        <v>Normal</v>
      </c>
    </row>
    <row r="95" spans="1:5" x14ac:dyDescent="0.25">
      <c r="A95" s="7">
        <v>94</v>
      </c>
      <c r="B95" t="s">
        <v>781</v>
      </c>
      <c r="C95" s="2" t="s">
        <v>291</v>
      </c>
      <c r="D95">
        <f>COUNTIF('CSC Meetings'!B:B,'CSC Meeting Per Student'!C95)</f>
        <v>0</v>
      </c>
      <c r="E95" t="str">
        <f t="shared" si="1"/>
        <v>At Risk</v>
      </c>
    </row>
    <row r="96" spans="1:5" x14ac:dyDescent="0.25">
      <c r="A96" s="7">
        <v>95</v>
      </c>
      <c r="B96" t="s">
        <v>801</v>
      </c>
      <c r="C96" s="2" t="s">
        <v>294</v>
      </c>
      <c r="D96">
        <f>COUNTIF('CSC Meetings'!B:B,'CSC Meeting Per Student'!C96)</f>
        <v>4</v>
      </c>
      <c r="E96" t="str">
        <f t="shared" si="1"/>
        <v>Normal</v>
      </c>
    </row>
    <row r="97" spans="1:5" x14ac:dyDescent="0.25">
      <c r="A97" s="7">
        <v>96</v>
      </c>
      <c r="B97" t="s">
        <v>780</v>
      </c>
      <c r="C97" s="2" t="s">
        <v>297</v>
      </c>
      <c r="D97">
        <f>COUNTIF('CSC Meetings'!B:B,'CSC Meeting Per Student'!C97)</f>
        <v>4</v>
      </c>
      <c r="E97" t="str">
        <f t="shared" si="1"/>
        <v>Normal</v>
      </c>
    </row>
    <row r="98" spans="1:5" x14ac:dyDescent="0.25">
      <c r="A98" s="7">
        <v>97</v>
      </c>
      <c r="B98" t="s">
        <v>793</v>
      </c>
      <c r="C98" s="2" t="s">
        <v>300</v>
      </c>
      <c r="D98">
        <f>COUNTIF('CSC Meetings'!B:B,'CSC Meeting Per Student'!C98)</f>
        <v>4</v>
      </c>
      <c r="E98" t="str">
        <f t="shared" si="1"/>
        <v>Normal</v>
      </c>
    </row>
    <row r="99" spans="1:5" x14ac:dyDescent="0.25">
      <c r="A99" s="7">
        <v>98</v>
      </c>
      <c r="B99" t="s">
        <v>779</v>
      </c>
      <c r="C99" s="2" t="s">
        <v>303</v>
      </c>
      <c r="D99">
        <f>COUNTIF('CSC Meetings'!B:B,'CSC Meeting Per Student'!C99)</f>
        <v>4</v>
      </c>
      <c r="E99" t="str">
        <f t="shared" si="1"/>
        <v>Normal</v>
      </c>
    </row>
    <row r="100" spans="1:5" x14ac:dyDescent="0.25">
      <c r="A100" s="7">
        <v>99</v>
      </c>
      <c r="B100" t="s">
        <v>712</v>
      </c>
      <c r="C100" s="2" t="s">
        <v>306</v>
      </c>
      <c r="D100">
        <f>COUNTIF('CSC Meetings'!B:B,'CSC Meeting Per Student'!C100)</f>
        <v>4</v>
      </c>
      <c r="E100" t="str">
        <f t="shared" si="1"/>
        <v>Normal</v>
      </c>
    </row>
    <row r="101" spans="1:5" x14ac:dyDescent="0.25">
      <c r="A101" s="7">
        <v>100</v>
      </c>
      <c r="B101" t="s">
        <v>659</v>
      </c>
      <c r="C101" s="2" t="s">
        <v>308</v>
      </c>
      <c r="D101">
        <f>COUNTIF('CSC Meetings'!B:B,'CSC Meeting Per Student'!C101)</f>
        <v>2</v>
      </c>
      <c r="E101" t="str">
        <f t="shared" si="1"/>
        <v>Normal</v>
      </c>
    </row>
    <row r="102" spans="1:5" x14ac:dyDescent="0.25">
      <c r="A102" s="7">
        <v>101</v>
      </c>
      <c r="B102" t="s">
        <v>778</v>
      </c>
      <c r="C102" s="2" t="s">
        <v>311</v>
      </c>
      <c r="D102">
        <f>COUNTIF('CSC Meetings'!B:B,'CSC Meeting Per Student'!C102)</f>
        <v>4</v>
      </c>
      <c r="E102" t="str">
        <f t="shared" si="1"/>
        <v>Normal</v>
      </c>
    </row>
    <row r="103" spans="1:5" x14ac:dyDescent="0.25">
      <c r="A103" s="7">
        <v>102</v>
      </c>
      <c r="B103" t="s">
        <v>787</v>
      </c>
      <c r="C103" s="2" t="s">
        <v>314</v>
      </c>
      <c r="D103">
        <f>COUNTIF('CSC Meetings'!B:B,'CSC Meeting Per Student'!C103)</f>
        <v>4</v>
      </c>
      <c r="E103" t="str">
        <f t="shared" si="1"/>
        <v>Normal</v>
      </c>
    </row>
    <row r="104" spans="1:5" x14ac:dyDescent="0.25">
      <c r="A104" s="7">
        <v>103</v>
      </c>
      <c r="B104" t="s">
        <v>840</v>
      </c>
      <c r="C104" s="2" t="s">
        <v>316</v>
      </c>
      <c r="D104">
        <f>COUNTIF('CSC Meetings'!B:B,'CSC Meeting Per Student'!C104)</f>
        <v>2</v>
      </c>
      <c r="E104" t="str">
        <f t="shared" si="1"/>
        <v>Normal</v>
      </c>
    </row>
    <row r="105" spans="1:5" x14ac:dyDescent="0.25">
      <c r="A105" s="7">
        <v>104</v>
      </c>
      <c r="B105" t="s">
        <v>776</v>
      </c>
      <c r="C105" s="2" t="s">
        <v>319</v>
      </c>
      <c r="D105">
        <f>COUNTIF('CSC Meetings'!B:B,'CSC Meeting Per Student'!C105)</f>
        <v>4</v>
      </c>
      <c r="E105" t="str">
        <f t="shared" si="1"/>
        <v>Normal</v>
      </c>
    </row>
    <row r="106" spans="1:5" x14ac:dyDescent="0.25">
      <c r="A106" s="7">
        <v>105</v>
      </c>
      <c r="B106" t="s">
        <v>774</v>
      </c>
      <c r="C106" s="2" t="s">
        <v>322</v>
      </c>
      <c r="D106">
        <f>COUNTIF('CSC Meetings'!B:B,'CSC Meeting Per Student'!C106)</f>
        <v>4</v>
      </c>
      <c r="E106" t="str">
        <f t="shared" si="1"/>
        <v>Normal</v>
      </c>
    </row>
    <row r="107" spans="1:5" x14ac:dyDescent="0.25">
      <c r="A107" s="7">
        <v>106</v>
      </c>
      <c r="B107" t="s">
        <v>775</v>
      </c>
      <c r="C107" s="2" t="s">
        <v>324</v>
      </c>
      <c r="D107">
        <f>COUNTIF('CSC Meetings'!B:B,'CSC Meeting Per Student'!C107)</f>
        <v>2</v>
      </c>
      <c r="E107" t="str">
        <f t="shared" si="1"/>
        <v>Normal</v>
      </c>
    </row>
    <row r="108" spans="1:5" x14ac:dyDescent="0.25">
      <c r="A108" s="7">
        <v>107</v>
      </c>
      <c r="B108" t="s">
        <v>786</v>
      </c>
      <c r="C108" s="2" t="s">
        <v>327</v>
      </c>
      <c r="D108">
        <f>COUNTIF('CSC Meetings'!B:B,'CSC Meeting Per Student'!C108)</f>
        <v>4</v>
      </c>
      <c r="E108" t="str">
        <f t="shared" si="1"/>
        <v>Normal</v>
      </c>
    </row>
    <row r="109" spans="1:5" x14ac:dyDescent="0.25">
      <c r="A109" s="7">
        <v>108</v>
      </c>
      <c r="B109" t="s">
        <v>842</v>
      </c>
      <c r="C109" s="2" t="s">
        <v>329</v>
      </c>
      <c r="D109">
        <f>COUNTIF('CSC Meetings'!B:B,'CSC Meeting Per Student'!C109)</f>
        <v>4</v>
      </c>
      <c r="E109" t="str">
        <f t="shared" si="1"/>
        <v>Normal</v>
      </c>
    </row>
    <row r="110" spans="1:5" x14ac:dyDescent="0.25">
      <c r="A110" s="7">
        <v>109</v>
      </c>
      <c r="B110" t="s">
        <v>773</v>
      </c>
      <c r="C110" s="2" t="s">
        <v>332</v>
      </c>
      <c r="D110">
        <f>COUNTIF('CSC Meetings'!B:B,'CSC Meeting Per Student'!C110)</f>
        <v>4</v>
      </c>
      <c r="E110" t="str">
        <f t="shared" si="1"/>
        <v>Normal</v>
      </c>
    </row>
    <row r="111" spans="1:5" x14ac:dyDescent="0.25">
      <c r="A111" s="7">
        <v>110</v>
      </c>
      <c r="B111" t="s">
        <v>651</v>
      </c>
      <c r="C111" s="2" t="s">
        <v>334</v>
      </c>
      <c r="D111">
        <f>COUNTIF('CSC Meetings'!B:B,'CSC Meeting Per Student'!C111)</f>
        <v>1</v>
      </c>
      <c r="E111" t="str">
        <f t="shared" si="1"/>
        <v>At Risk</v>
      </c>
    </row>
    <row r="112" spans="1:5" x14ac:dyDescent="0.25">
      <c r="A112" s="7">
        <v>111</v>
      </c>
      <c r="B112" t="s">
        <v>761</v>
      </c>
      <c r="C112" s="2" t="s">
        <v>337</v>
      </c>
      <c r="D112">
        <f>COUNTIF('CSC Meetings'!B:B,'CSC Meeting Per Student'!C112)</f>
        <v>4</v>
      </c>
      <c r="E112" t="str">
        <f t="shared" si="1"/>
        <v>Normal</v>
      </c>
    </row>
    <row r="113" spans="1:5" x14ac:dyDescent="0.25">
      <c r="A113" s="7">
        <v>112</v>
      </c>
      <c r="B113" t="s">
        <v>725</v>
      </c>
      <c r="C113" s="2" t="s">
        <v>340</v>
      </c>
      <c r="D113">
        <f>COUNTIF('CSC Meetings'!B:B,'CSC Meeting Per Student'!C113)</f>
        <v>4</v>
      </c>
      <c r="E113" t="str">
        <f t="shared" si="1"/>
        <v>Normal</v>
      </c>
    </row>
    <row r="114" spans="1:5" x14ac:dyDescent="0.25">
      <c r="A114" s="7">
        <v>113</v>
      </c>
      <c r="B114" t="s">
        <v>694</v>
      </c>
      <c r="C114" s="2" t="s">
        <v>343</v>
      </c>
      <c r="D114">
        <f>COUNTIF('CSC Meetings'!B:B,'CSC Meeting Per Student'!C114)</f>
        <v>4</v>
      </c>
      <c r="E114" t="str">
        <f t="shared" si="1"/>
        <v>Normal</v>
      </c>
    </row>
    <row r="115" spans="1:5" x14ac:dyDescent="0.25">
      <c r="A115" s="7">
        <v>114</v>
      </c>
      <c r="B115" t="s">
        <v>704</v>
      </c>
      <c r="C115" s="2" t="s">
        <v>346</v>
      </c>
      <c r="D115">
        <f>COUNTIF('CSC Meetings'!B:B,'CSC Meeting Per Student'!C115)</f>
        <v>4</v>
      </c>
      <c r="E115" t="str">
        <f t="shared" si="1"/>
        <v>Normal</v>
      </c>
    </row>
    <row r="116" spans="1:5" x14ac:dyDescent="0.25">
      <c r="A116" s="7">
        <v>115</v>
      </c>
      <c r="B116" t="s">
        <v>770</v>
      </c>
      <c r="C116" s="2" t="s">
        <v>349</v>
      </c>
      <c r="D116">
        <f>COUNTIF('CSC Meetings'!B:B,'CSC Meeting Per Student'!C116)</f>
        <v>4</v>
      </c>
      <c r="E116" t="str">
        <f t="shared" si="1"/>
        <v>Normal</v>
      </c>
    </row>
    <row r="117" spans="1:5" x14ac:dyDescent="0.25">
      <c r="A117" s="7">
        <v>116</v>
      </c>
      <c r="B117" t="s">
        <v>769</v>
      </c>
      <c r="C117" s="2" t="s">
        <v>351</v>
      </c>
      <c r="D117">
        <f>COUNTIF('CSC Meetings'!B:B,'CSC Meeting Per Student'!C117)</f>
        <v>4</v>
      </c>
      <c r="E117" t="str">
        <f t="shared" si="1"/>
        <v>Normal</v>
      </c>
    </row>
    <row r="118" spans="1:5" x14ac:dyDescent="0.25">
      <c r="A118" s="7">
        <v>117</v>
      </c>
      <c r="B118" t="s">
        <v>645</v>
      </c>
      <c r="C118" s="2" t="s">
        <v>353</v>
      </c>
      <c r="D118">
        <f>COUNTIF('CSC Meetings'!B:B,'CSC Meeting Per Student'!C118)</f>
        <v>4</v>
      </c>
      <c r="E118" t="str">
        <f t="shared" si="1"/>
        <v>Normal</v>
      </c>
    </row>
    <row r="119" spans="1:5" x14ac:dyDescent="0.25">
      <c r="A119" s="7">
        <v>118</v>
      </c>
      <c r="B119" t="s">
        <v>765</v>
      </c>
      <c r="C119" s="2" t="s">
        <v>356</v>
      </c>
      <c r="D119">
        <f>COUNTIF('CSC Meetings'!B:B,'CSC Meeting Per Student'!C119)</f>
        <v>4</v>
      </c>
      <c r="E119" t="str">
        <f t="shared" si="1"/>
        <v>Normal</v>
      </c>
    </row>
    <row r="120" spans="1:5" x14ac:dyDescent="0.25">
      <c r="A120" s="7">
        <v>119</v>
      </c>
      <c r="B120" t="s">
        <v>764</v>
      </c>
      <c r="C120" s="2" t="s">
        <v>359</v>
      </c>
      <c r="D120">
        <f>COUNTIF('CSC Meetings'!B:B,'CSC Meeting Per Student'!C120)</f>
        <v>4</v>
      </c>
      <c r="E120" t="str">
        <f t="shared" si="1"/>
        <v>Normal</v>
      </c>
    </row>
    <row r="121" spans="1:5" x14ac:dyDescent="0.25">
      <c r="A121" s="7">
        <v>120</v>
      </c>
      <c r="B121" t="s">
        <v>768</v>
      </c>
      <c r="C121" s="2" t="s">
        <v>362</v>
      </c>
      <c r="D121">
        <f>COUNTIF('CSC Meetings'!B:B,'CSC Meeting Per Student'!C121)</f>
        <v>4</v>
      </c>
      <c r="E121" t="str">
        <f t="shared" si="1"/>
        <v>Normal</v>
      </c>
    </row>
    <row r="122" spans="1:5" x14ac:dyDescent="0.25">
      <c r="A122" s="7">
        <v>121</v>
      </c>
      <c r="B122" t="s">
        <v>676</v>
      </c>
      <c r="C122" s="2" t="s">
        <v>365</v>
      </c>
      <c r="D122">
        <f>COUNTIF('CSC Meetings'!B:B,'CSC Meeting Per Student'!C122)</f>
        <v>2</v>
      </c>
      <c r="E122" t="str">
        <f t="shared" si="1"/>
        <v>Normal</v>
      </c>
    </row>
    <row r="123" spans="1:5" x14ac:dyDescent="0.25">
      <c r="A123" s="7">
        <v>122</v>
      </c>
      <c r="B123" t="s">
        <v>807</v>
      </c>
      <c r="C123" s="2" t="s">
        <v>368</v>
      </c>
      <c r="D123">
        <f>COUNTIF('CSC Meetings'!B:B,'CSC Meeting Per Student'!C123)</f>
        <v>4</v>
      </c>
      <c r="E123" t="str">
        <f t="shared" si="1"/>
        <v>Normal</v>
      </c>
    </row>
    <row r="124" spans="1:5" x14ac:dyDescent="0.25">
      <c r="A124" s="7">
        <v>123</v>
      </c>
      <c r="B124" t="s">
        <v>692</v>
      </c>
      <c r="C124" s="2" t="s">
        <v>370</v>
      </c>
      <c r="D124">
        <f>COUNTIF('CSC Meetings'!B:B,'CSC Meeting Per Student'!C124)</f>
        <v>4</v>
      </c>
      <c r="E124" t="str">
        <f t="shared" si="1"/>
        <v>Normal</v>
      </c>
    </row>
    <row r="125" spans="1:5" x14ac:dyDescent="0.25">
      <c r="A125" s="7">
        <v>124</v>
      </c>
      <c r="B125" t="s">
        <v>687</v>
      </c>
      <c r="C125" s="2" t="s">
        <v>373</v>
      </c>
      <c r="D125">
        <f>COUNTIF('CSC Meetings'!B:B,'CSC Meeting Per Student'!C125)</f>
        <v>4</v>
      </c>
      <c r="E125" t="str">
        <f t="shared" si="1"/>
        <v>Normal</v>
      </c>
    </row>
    <row r="126" spans="1:5" x14ac:dyDescent="0.25">
      <c r="A126" s="7">
        <v>125</v>
      </c>
      <c r="B126" t="s">
        <v>654</v>
      </c>
      <c r="C126" s="2" t="s">
        <v>376</v>
      </c>
      <c r="D126">
        <f>COUNTIF('CSC Meetings'!B:B,'CSC Meeting Per Student'!C126)</f>
        <v>1</v>
      </c>
      <c r="E126" t="str">
        <f t="shared" si="1"/>
        <v>At Risk</v>
      </c>
    </row>
    <row r="127" spans="1:5" x14ac:dyDescent="0.25">
      <c r="A127" s="7">
        <v>126</v>
      </c>
      <c r="B127" t="s">
        <v>760</v>
      </c>
      <c r="C127" s="2" t="s">
        <v>379</v>
      </c>
      <c r="D127">
        <f>COUNTIF('CSC Meetings'!B:B,'CSC Meeting Per Student'!C127)</f>
        <v>4</v>
      </c>
      <c r="E127" t="str">
        <f t="shared" si="1"/>
        <v>Normal</v>
      </c>
    </row>
    <row r="128" spans="1:5" x14ac:dyDescent="0.25">
      <c r="A128" s="7">
        <v>127</v>
      </c>
      <c r="B128" t="s">
        <v>762</v>
      </c>
      <c r="C128" s="2" t="s">
        <v>382</v>
      </c>
      <c r="D128">
        <f>COUNTIF('CSC Meetings'!B:B,'CSC Meeting Per Student'!C128)</f>
        <v>1</v>
      </c>
      <c r="E128" t="str">
        <f t="shared" si="1"/>
        <v>At Risk</v>
      </c>
    </row>
    <row r="129" spans="1:5" x14ac:dyDescent="0.25">
      <c r="A129" s="7">
        <v>128</v>
      </c>
      <c r="B129" t="s">
        <v>816</v>
      </c>
      <c r="C129" s="2" t="s">
        <v>385</v>
      </c>
      <c r="D129">
        <f>COUNTIF('CSC Meetings'!B:B,'CSC Meeting Per Student'!C129)</f>
        <v>1</v>
      </c>
      <c r="E129" t="str">
        <f t="shared" si="1"/>
        <v>At Risk</v>
      </c>
    </row>
    <row r="130" spans="1:5" x14ac:dyDescent="0.25">
      <c r="A130" s="7">
        <v>129</v>
      </c>
      <c r="B130" t="s">
        <v>757</v>
      </c>
      <c r="C130" s="2" t="s">
        <v>387</v>
      </c>
      <c r="D130">
        <f>COUNTIF('CSC Meetings'!B:B,'CSC Meeting Per Student'!C130)</f>
        <v>4</v>
      </c>
      <c r="E130" t="str">
        <f t="shared" si="1"/>
        <v>Normal</v>
      </c>
    </row>
    <row r="131" spans="1:5" x14ac:dyDescent="0.25">
      <c r="A131" s="7">
        <v>130</v>
      </c>
      <c r="B131" t="s">
        <v>724</v>
      </c>
      <c r="C131" s="2" t="s">
        <v>390</v>
      </c>
      <c r="D131">
        <f>COUNTIF('CSC Meetings'!B:B,'CSC Meeting Per Student'!C131)</f>
        <v>4</v>
      </c>
      <c r="E131" t="str">
        <f t="shared" ref="E131:E194" si="2">+IF(D131&lt;2,"At Risk","Normal")</f>
        <v>Normal</v>
      </c>
    </row>
    <row r="132" spans="1:5" x14ac:dyDescent="0.25">
      <c r="A132" s="7">
        <v>131</v>
      </c>
      <c r="B132" t="s">
        <v>756</v>
      </c>
      <c r="C132" s="2" t="s">
        <v>393</v>
      </c>
      <c r="D132">
        <f>COUNTIF('CSC Meetings'!B:B,'CSC Meeting Per Student'!C132)</f>
        <v>4</v>
      </c>
      <c r="E132" t="str">
        <f t="shared" si="2"/>
        <v>Normal</v>
      </c>
    </row>
    <row r="133" spans="1:5" x14ac:dyDescent="0.25">
      <c r="A133" s="7">
        <v>132</v>
      </c>
      <c r="B133" t="s">
        <v>754</v>
      </c>
      <c r="C133" s="2" t="s">
        <v>396</v>
      </c>
      <c r="D133">
        <f>COUNTIF('CSC Meetings'!B:B,'CSC Meeting Per Student'!C133)</f>
        <v>4</v>
      </c>
      <c r="E133" t="str">
        <f t="shared" si="2"/>
        <v>Normal</v>
      </c>
    </row>
    <row r="134" spans="1:5" x14ac:dyDescent="0.25">
      <c r="A134" s="7">
        <v>133</v>
      </c>
      <c r="B134" t="s">
        <v>745</v>
      </c>
      <c r="C134" s="2" t="s">
        <v>399</v>
      </c>
      <c r="D134">
        <f>COUNTIF('CSC Meetings'!B:B,'CSC Meeting Per Student'!C134)</f>
        <v>4</v>
      </c>
      <c r="E134" t="str">
        <f t="shared" si="2"/>
        <v>Normal</v>
      </c>
    </row>
    <row r="135" spans="1:5" x14ac:dyDescent="0.25">
      <c r="A135" s="7">
        <v>134</v>
      </c>
      <c r="B135" t="s">
        <v>753</v>
      </c>
      <c r="C135" s="2" t="s">
        <v>402</v>
      </c>
      <c r="D135">
        <f>COUNTIF('CSC Meetings'!B:B,'CSC Meeting Per Student'!C135)</f>
        <v>4</v>
      </c>
      <c r="E135" t="str">
        <f t="shared" si="2"/>
        <v>Normal</v>
      </c>
    </row>
    <row r="136" spans="1:5" x14ac:dyDescent="0.25">
      <c r="A136" s="7">
        <v>135</v>
      </c>
      <c r="B136" t="s">
        <v>755</v>
      </c>
      <c r="C136" s="2" t="s">
        <v>405</v>
      </c>
      <c r="D136">
        <f>COUNTIF('CSC Meetings'!B:B,'CSC Meeting Per Student'!C136)</f>
        <v>4</v>
      </c>
      <c r="E136" t="str">
        <f t="shared" si="2"/>
        <v>Normal</v>
      </c>
    </row>
    <row r="137" spans="1:5" x14ac:dyDescent="0.25">
      <c r="A137" s="7">
        <v>136</v>
      </c>
      <c r="B137" t="s">
        <v>668</v>
      </c>
      <c r="C137" s="2" t="s">
        <v>408</v>
      </c>
      <c r="D137">
        <f>COUNTIF('CSC Meetings'!B:B,'CSC Meeting Per Student'!C137)</f>
        <v>2</v>
      </c>
      <c r="E137" t="str">
        <f t="shared" si="2"/>
        <v>Normal</v>
      </c>
    </row>
    <row r="138" spans="1:5" x14ac:dyDescent="0.25">
      <c r="A138" s="7">
        <v>137</v>
      </c>
      <c r="B138" t="s">
        <v>667</v>
      </c>
      <c r="C138" s="2" t="s">
        <v>411</v>
      </c>
      <c r="D138">
        <f>COUNTIF('CSC Meetings'!B:B,'CSC Meeting Per Student'!C138)</f>
        <v>1</v>
      </c>
      <c r="E138" t="str">
        <f t="shared" si="2"/>
        <v>At Risk</v>
      </c>
    </row>
    <row r="139" spans="1:5" x14ac:dyDescent="0.25">
      <c r="A139" s="7">
        <v>138</v>
      </c>
      <c r="B139" t="s">
        <v>707</v>
      </c>
      <c r="C139" s="2" t="s">
        <v>414</v>
      </c>
      <c r="D139">
        <f>COUNTIF('CSC Meetings'!B:B,'CSC Meeting Per Student'!C139)</f>
        <v>2</v>
      </c>
      <c r="E139" t="str">
        <f t="shared" si="2"/>
        <v>Normal</v>
      </c>
    </row>
    <row r="140" spans="1:5" x14ac:dyDescent="0.25">
      <c r="A140" s="7">
        <v>139</v>
      </c>
      <c r="B140" t="s">
        <v>752</v>
      </c>
      <c r="C140" s="2" t="s">
        <v>416</v>
      </c>
      <c r="D140">
        <f>COUNTIF('CSC Meetings'!B:B,'CSC Meeting Per Student'!C140)</f>
        <v>4</v>
      </c>
      <c r="E140" t="str">
        <f t="shared" si="2"/>
        <v>Normal</v>
      </c>
    </row>
    <row r="141" spans="1:5" x14ac:dyDescent="0.25">
      <c r="A141" s="7">
        <v>140</v>
      </c>
      <c r="B141" t="s">
        <v>749</v>
      </c>
      <c r="C141" s="2" t="s">
        <v>419</v>
      </c>
      <c r="D141">
        <f>COUNTIF('CSC Meetings'!B:B,'CSC Meeting Per Student'!C141)</f>
        <v>4</v>
      </c>
      <c r="E141" t="str">
        <f t="shared" si="2"/>
        <v>Normal</v>
      </c>
    </row>
    <row r="142" spans="1:5" x14ac:dyDescent="0.25">
      <c r="A142" s="7">
        <v>141</v>
      </c>
      <c r="B142" t="s">
        <v>748</v>
      </c>
      <c r="C142" s="2" t="s">
        <v>422</v>
      </c>
      <c r="D142">
        <f>COUNTIF('CSC Meetings'!B:B,'CSC Meeting Per Student'!C142)</f>
        <v>4</v>
      </c>
      <c r="E142" t="str">
        <f t="shared" si="2"/>
        <v>Normal</v>
      </c>
    </row>
    <row r="143" spans="1:5" x14ac:dyDescent="0.25">
      <c r="A143" s="7">
        <v>142</v>
      </c>
      <c r="B143" t="s">
        <v>747</v>
      </c>
      <c r="C143" s="2" t="s">
        <v>425</v>
      </c>
      <c r="D143">
        <f>COUNTIF('CSC Meetings'!B:B,'CSC Meeting Per Student'!C143)</f>
        <v>1</v>
      </c>
      <c r="E143" t="str">
        <f t="shared" si="2"/>
        <v>At Risk</v>
      </c>
    </row>
    <row r="144" spans="1:5" x14ac:dyDescent="0.25">
      <c r="A144" s="7">
        <v>143</v>
      </c>
      <c r="B144" t="s">
        <v>766</v>
      </c>
      <c r="C144" s="2" t="s">
        <v>428</v>
      </c>
      <c r="D144">
        <f>COUNTIF('CSC Meetings'!B:B,'CSC Meeting Per Student'!C144)</f>
        <v>4</v>
      </c>
      <c r="E144" t="str">
        <f t="shared" si="2"/>
        <v>Normal</v>
      </c>
    </row>
    <row r="145" spans="1:5" x14ac:dyDescent="0.25">
      <c r="A145" s="7">
        <v>144</v>
      </c>
      <c r="B145" t="s">
        <v>666</v>
      </c>
      <c r="C145" s="2" t="s">
        <v>430</v>
      </c>
      <c r="D145">
        <f>COUNTIF('CSC Meetings'!B:B,'CSC Meeting Per Student'!C145)</f>
        <v>2</v>
      </c>
      <c r="E145" t="str">
        <f t="shared" si="2"/>
        <v>Normal</v>
      </c>
    </row>
    <row r="146" spans="1:5" x14ac:dyDescent="0.25">
      <c r="A146" s="7">
        <v>145</v>
      </c>
      <c r="B146" t="s">
        <v>690</v>
      </c>
      <c r="C146" s="2" t="s">
        <v>433</v>
      </c>
      <c r="D146">
        <f>COUNTIF('CSC Meetings'!B:B,'CSC Meeting Per Student'!C146)</f>
        <v>4</v>
      </c>
      <c r="E146" t="str">
        <f t="shared" si="2"/>
        <v>Normal</v>
      </c>
    </row>
    <row r="147" spans="1:5" x14ac:dyDescent="0.25">
      <c r="A147" s="7">
        <v>146</v>
      </c>
      <c r="B147" t="s">
        <v>746</v>
      </c>
      <c r="C147" s="2" t="s">
        <v>436</v>
      </c>
      <c r="D147">
        <f>COUNTIF('CSC Meetings'!B:B,'CSC Meeting Per Student'!C147)</f>
        <v>4</v>
      </c>
      <c r="E147" t="str">
        <f t="shared" si="2"/>
        <v>Normal</v>
      </c>
    </row>
    <row r="148" spans="1:5" x14ac:dyDescent="0.25">
      <c r="A148" s="7">
        <v>147</v>
      </c>
      <c r="B148" t="s">
        <v>802</v>
      </c>
      <c r="C148" s="2" t="s">
        <v>439</v>
      </c>
      <c r="D148">
        <f>COUNTIF('CSC Meetings'!B:B,'CSC Meeting Per Student'!C148)</f>
        <v>1</v>
      </c>
      <c r="E148" t="str">
        <f t="shared" si="2"/>
        <v>At Risk</v>
      </c>
    </row>
    <row r="149" spans="1:5" x14ac:dyDescent="0.25">
      <c r="A149" s="7">
        <v>148</v>
      </c>
      <c r="B149" t="s">
        <v>744</v>
      </c>
      <c r="C149" s="2" t="s">
        <v>442</v>
      </c>
      <c r="D149">
        <f>COUNTIF('CSC Meetings'!B:B,'CSC Meeting Per Student'!C149)</f>
        <v>4</v>
      </c>
      <c r="E149" t="str">
        <f t="shared" si="2"/>
        <v>Normal</v>
      </c>
    </row>
    <row r="150" spans="1:5" x14ac:dyDescent="0.25">
      <c r="A150" s="7">
        <v>149</v>
      </c>
      <c r="B150" t="s">
        <v>741</v>
      </c>
      <c r="C150" s="2" t="s">
        <v>445</v>
      </c>
      <c r="D150">
        <f>COUNTIF('CSC Meetings'!B:B,'CSC Meeting Per Student'!C150)</f>
        <v>4</v>
      </c>
      <c r="E150" t="str">
        <f t="shared" si="2"/>
        <v>Normal</v>
      </c>
    </row>
    <row r="151" spans="1:5" x14ac:dyDescent="0.25">
      <c r="A151" s="7">
        <v>150</v>
      </c>
      <c r="B151" t="s">
        <v>691</v>
      </c>
      <c r="C151" s="2" t="s">
        <v>447</v>
      </c>
      <c r="D151">
        <f>COUNTIF('CSC Meetings'!B:B,'CSC Meeting Per Student'!C151)</f>
        <v>4</v>
      </c>
      <c r="E151" t="str">
        <f t="shared" si="2"/>
        <v>Normal</v>
      </c>
    </row>
    <row r="152" spans="1:5" x14ac:dyDescent="0.25">
      <c r="A152" s="7">
        <v>151</v>
      </c>
      <c r="B152" t="s">
        <v>728</v>
      </c>
      <c r="C152" s="2" t="s">
        <v>450</v>
      </c>
      <c r="D152">
        <f>COUNTIF('CSC Meetings'!B:B,'CSC Meeting Per Student'!C152)</f>
        <v>4</v>
      </c>
      <c r="E152" t="str">
        <f t="shared" si="2"/>
        <v>Normal</v>
      </c>
    </row>
    <row r="153" spans="1:5" x14ac:dyDescent="0.25">
      <c r="A153" s="7">
        <v>152</v>
      </c>
      <c r="B153" t="s">
        <v>818</v>
      </c>
      <c r="C153" s="2" t="s">
        <v>453</v>
      </c>
      <c r="D153">
        <f>COUNTIF('CSC Meetings'!B:B,'CSC Meeting Per Student'!C153)</f>
        <v>1</v>
      </c>
      <c r="E153" t="str">
        <f t="shared" si="2"/>
        <v>At Risk</v>
      </c>
    </row>
    <row r="154" spans="1:5" x14ac:dyDescent="0.25">
      <c r="A154" s="7">
        <v>153</v>
      </c>
      <c r="B154" t="s">
        <v>739</v>
      </c>
      <c r="C154" s="2" t="s">
        <v>456</v>
      </c>
      <c r="D154">
        <f>COUNTIF('CSC Meetings'!B:B,'CSC Meeting Per Student'!C154)</f>
        <v>4</v>
      </c>
      <c r="E154" t="str">
        <f t="shared" si="2"/>
        <v>Normal</v>
      </c>
    </row>
    <row r="155" spans="1:5" x14ac:dyDescent="0.25">
      <c r="A155" s="7">
        <v>154</v>
      </c>
      <c r="B155" t="s">
        <v>680</v>
      </c>
      <c r="C155" s="2" t="s">
        <v>459</v>
      </c>
      <c r="D155">
        <f>COUNTIF('CSC Meetings'!B:B,'CSC Meeting Per Student'!C155)</f>
        <v>0</v>
      </c>
      <c r="E155" t="str">
        <f t="shared" si="2"/>
        <v>At Risk</v>
      </c>
    </row>
    <row r="156" spans="1:5" x14ac:dyDescent="0.25">
      <c r="A156" s="7">
        <v>155</v>
      </c>
      <c r="B156" t="s">
        <v>737</v>
      </c>
      <c r="C156" s="2" t="s">
        <v>462</v>
      </c>
      <c r="D156">
        <f>COUNTIF('CSC Meetings'!B:B,'CSC Meeting Per Student'!C156)</f>
        <v>4</v>
      </c>
      <c r="E156" t="str">
        <f t="shared" si="2"/>
        <v>Normal</v>
      </c>
    </row>
    <row r="157" spans="1:5" x14ac:dyDescent="0.25">
      <c r="A157" s="7">
        <v>156</v>
      </c>
      <c r="B157" t="s">
        <v>797</v>
      </c>
      <c r="C157" s="2" t="s">
        <v>465</v>
      </c>
      <c r="D157">
        <f>COUNTIF('CSC Meetings'!B:B,'CSC Meeting Per Student'!C157)</f>
        <v>4</v>
      </c>
      <c r="E157" t="str">
        <f t="shared" si="2"/>
        <v>Normal</v>
      </c>
    </row>
    <row r="158" spans="1:5" x14ac:dyDescent="0.25">
      <c r="A158" s="7">
        <v>157</v>
      </c>
      <c r="B158" t="s">
        <v>736</v>
      </c>
      <c r="C158" s="2" t="s">
        <v>468</v>
      </c>
      <c r="D158">
        <f>COUNTIF('CSC Meetings'!B:B,'CSC Meeting Per Student'!C158)</f>
        <v>3</v>
      </c>
      <c r="E158" t="str">
        <f t="shared" si="2"/>
        <v>Normal</v>
      </c>
    </row>
    <row r="159" spans="1:5" x14ac:dyDescent="0.25">
      <c r="A159" s="7">
        <v>158</v>
      </c>
      <c r="B159" t="s">
        <v>735</v>
      </c>
      <c r="C159" s="2" t="s">
        <v>471</v>
      </c>
      <c r="D159">
        <f>COUNTIF('CSC Meetings'!B:B,'CSC Meeting Per Student'!C159)</f>
        <v>4</v>
      </c>
      <c r="E159" t="str">
        <f t="shared" si="2"/>
        <v>Normal</v>
      </c>
    </row>
    <row r="160" spans="1:5" x14ac:dyDescent="0.25">
      <c r="A160" s="7">
        <v>159</v>
      </c>
      <c r="B160" t="s">
        <v>734</v>
      </c>
      <c r="C160" s="2" t="s">
        <v>474</v>
      </c>
      <c r="D160">
        <f>COUNTIF('CSC Meetings'!B:B,'CSC Meeting Per Student'!C160)</f>
        <v>3</v>
      </c>
      <c r="E160" t="str">
        <f t="shared" si="2"/>
        <v>Normal</v>
      </c>
    </row>
    <row r="161" spans="1:5" x14ac:dyDescent="0.25">
      <c r="A161" s="7">
        <v>160</v>
      </c>
      <c r="B161" t="s">
        <v>839</v>
      </c>
      <c r="C161" s="2" t="s">
        <v>477</v>
      </c>
      <c r="D161">
        <f>COUNTIF('CSC Meetings'!B:B,'CSC Meeting Per Student'!C161)</f>
        <v>3</v>
      </c>
      <c r="E161" t="str">
        <f t="shared" si="2"/>
        <v>Normal</v>
      </c>
    </row>
    <row r="162" spans="1:5" x14ac:dyDescent="0.25">
      <c r="A162" s="7">
        <v>161</v>
      </c>
      <c r="B162" t="s">
        <v>688</v>
      </c>
      <c r="C162" s="2" t="s">
        <v>479</v>
      </c>
      <c r="D162">
        <f>COUNTIF('CSC Meetings'!B:B,'CSC Meeting Per Student'!C162)</f>
        <v>4</v>
      </c>
      <c r="E162" t="str">
        <f t="shared" si="2"/>
        <v>Normal</v>
      </c>
    </row>
    <row r="163" spans="1:5" x14ac:dyDescent="0.25">
      <c r="A163" s="7">
        <v>162</v>
      </c>
      <c r="B163" t="s">
        <v>733</v>
      </c>
      <c r="C163" s="2" t="s">
        <v>482</v>
      </c>
      <c r="D163">
        <f>COUNTIF('CSC Meetings'!B:B,'CSC Meeting Per Student'!C163)</f>
        <v>3</v>
      </c>
      <c r="E163" t="str">
        <f t="shared" si="2"/>
        <v>Normal</v>
      </c>
    </row>
    <row r="164" spans="1:5" x14ac:dyDescent="0.25">
      <c r="A164" s="7">
        <v>163</v>
      </c>
      <c r="B164" t="s">
        <v>658</v>
      </c>
      <c r="C164" s="2" t="s">
        <v>485</v>
      </c>
      <c r="D164">
        <f>COUNTIF('CSC Meetings'!B:B,'CSC Meeting Per Student'!C164)</f>
        <v>1</v>
      </c>
      <c r="E164" t="str">
        <f t="shared" si="2"/>
        <v>At Risk</v>
      </c>
    </row>
    <row r="165" spans="1:5" x14ac:dyDescent="0.25">
      <c r="A165" s="7">
        <v>164</v>
      </c>
      <c r="B165" t="s">
        <v>732</v>
      </c>
      <c r="C165" s="2" t="s">
        <v>488</v>
      </c>
      <c r="D165">
        <f>COUNTIF('CSC Meetings'!B:B,'CSC Meeting Per Student'!C165)</f>
        <v>2</v>
      </c>
      <c r="E165" t="str">
        <f t="shared" si="2"/>
        <v>Normal</v>
      </c>
    </row>
    <row r="166" spans="1:5" x14ac:dyDescent="0.25">
      <c r="A166" s="7">
        <v>165</v>
      </c>
      <c r="B166" t="s">
        <v>657</v>
      </c>
      <c r="C166" s="2" t="s">
        <v>491</v>
      </c>
      <c r="D166">
        <f>COUNTIF('CSC Meetings'!B:B,'CSC Meeting Per Student'!C166)</f>
        <v>1</v>
      </c>
      <c r="E166" t="str">
        <f t="shared" si="2"/>
        <v>At Risk</v>
      </c>
    </row>
    <row r="167" spans="1:5" x14ac:dyDescent="0.25">
      <c r="A167" s="7">
        <v>166</v>
      </c>
      <c r="B167" t="s">
        <v>697</v>
      </c>
      <c r="C167" s="2" t="s">
        <v>493</v>
      </c>
      <c r="D167">
        <f>COUNTIF('CSC Meetings'!B:B,'CSC Meeting Per Student'!C167)</f>
        <v>3</v>
      </c>
      <c r="E167" t="str">
        <f t="shared" si="2"/>
        <v>Normal</v>
      </c>
    </row>
    <row r="168" spans="1:5" x14ac:dyDescent="0.25">
      <c r="A168" s="7">
        <v>167</v>
      </c>
      <c r="B168" t="s">
        <v>750</v>
      </c>
      <c r="C168" s="2" t="s">
        <v>496</v>
      </c>
      <c r="D168">
        <f>COUNTIF('CSC Meetings'!B:B,'CSC Meeting Per Student'!C168)</f>
        <v>3</v>
      </c>
      <c r="E168" t="str">
        <f t="shared" si="2"/>
        <v>Normal</v>
      </c>
    </row>
    <row r="169" spans="1:5" x14ac:dyDescent="0.25">
      <c r="A169" s="7">
        <v>168</v>
      </c>
      <c r="B169" t="s">
        <v>727</v>
      </c>
      <c r="C169" s="2" t="s">
        <v>499</v>
      </c>
      <c r="D169">
        <f>COUNTIF('CSC Meetings'!B:B,'CSC Meeting Per Student'!C169)</f>
        <v>3</v>
      </c>
      <c r="E169" t="str">
        <f t="shared" si="2"/>
        <v>Normal</v>
      </c>
    </row>
    <row r="170" spans="1:5" x14ac:dyDescent="0.25">
      <c r="A170" s="7">
        <v>169</v>
      </c>
      <c r="B170" t="s">
        <v>698</v>
      </c>
      <c r="C170" s="2" t="s">
        <v>501</v>
      </c>
      <c r="D170">
        <f>COUNTIF('CSC Meetings'!B:B,'CSC Meeting Per Student'!C170)</f>
        <v>3</v>
      </c>
      <c r="E170" t="str">
        <f t="shared" si="2"/>
        <v>Normal</v>
      </c>
    </row>
    <row r="171" spans="1:5" x14ac:dyDescent="0.25">
      <c r="A171" s="7">
        <v>170</v>
      </c>
      <c r="B171" t="s">
        <v>731</v>
      </c>
      <c r="C171" s="2" t="s">
        <v>504</v>
      </c>
      <c r="D171">
        <f>COUNTIF('CSC Meetings'!B:B,'CSC Meeting Per Student'!C171)</f>
        <v>1</v>
      </c>
      <c r="E171" t="str">
        <f t="shared" si="2"/>
        <v>At Risk</v>
      </c>
    </row>
    <row r="172" spans="1:5" x14ac:dyDescent="0.25">
      <c r="A172" s="7">
        <v>171</v>
      </c>
      <c r="B172" t="s">
        <v>686</v>
      </c>
      <c r="C172" s="2" t="s">
        <v>507</v>
      </c>
      <c r="D172">
        <f>COUNTIF('CSC Meetings'!B:B,'CSC Meeting Per Student'!C172)</f>
        <v>4</v>
      </c>
      <c r="E172" t="str">
        <f t="shared" si="2"/>
        <v>Normal</v>
      </c>
    </row>
    <row r="173" spans="1:5" x14ac:dyDescent="0.25">
      <c r="A173" s="7">
        <v>172</v>
      </c>
      <c r="B173" t="s">
        <v>726</v>
      </c>
      <c r="C173" s="2" t="s">
        <v>509</v>
      </c>
      <c r="D173">
        <f>COUNTIF('CSC Meetings'!B:B,'CSC Meeting Per Student'!C173)</f>
        <v>4</v>
      </c>
      <c r="E173" t="str">
        <f t="shared" si="2"/>
        <v>Normal</v>
      </c>
    </row>
    <row r="174" spans="1:5" x14ac:dyDescent="0.25">
      <c r="A174" s="7">
        <v>173</v>
      </c>
      <c r="B174" t="s">
        <v>714</v>
      </c>
      <c r="C174" s="2" t="s">
        <v>512</v>
      </c>
      <c r="D174">
        <f>COUNTIF('CSC Meetings'!B:B,'CSC Meeting Per Student'!C174)</f>
        <v>4</v>
      </c>
      <c r="E174" t="str">
        <f t="shared" si="2"/>
        <v>Normal</v>
      </c>
    </row>
    <row r="175" spans="1:5" x14ac:dyDescent="0.25">
      <c r="A175" s="7">
        <v>174</v>
      </c>
      <c r="B175" t="s">
        <v>763</v>
      </c>
      <c r="C175" s="2" t="s">
        <v>515</v>
      </c>
      <c r="D175">
        <f>COUNTIF('CSC Meetings'!B:B,'CSC Meeting Per Student'!C175)</f>
        <v>4</v>
      </c>
      <c r="E175" t="str">
        <f t="shared" si="2"/>
        <v>Normal</v>
      </c>
    </row>
    <row r="176" spans="1:5" x14ac:dyDescent="0.25">
      <c r="A176" s="7">
        <v>175</v>
      </c>
      <c r="B176" t="s">
        <v>777</v>
      </c>
      <c r="C176" s="2" t="s">
        <v>518</v>
      </c>
      <c r="D176">
        <f>COUNTIF('CSC Meetings'!B:B,'CSC Meeting Per Student'!C176)</f>
        <v>3</v>
      </c>
      <c r="E176" t="str">
        <f t="shared" si="2"/>
        <v>Normal</v>
      </c>
    </row>
    <row r="177" spans="1:5" x14ac:dyDescent="0.25">
      <c r="A177" s="7">
        <v>176</v>
      </c>
      <c r="B177" t="s">
        <v>722</v>
      </c>
      <c r="C177" s="2" t="s">
        <v>521</v>
      </c>
      <c r="D177">
        <f>COUNTIF('CSC Meetings'!B:B,'CSC Meeting Per Student'!C177)</f>
        <v>4</v>
      </c>
      <c r="E177" t="str">
        <f t="shared" si="2"/>
        <v>Normal</v>
      </c>
    </row>
    <row r="178" spans="1:5" x14ac:dyDescent="0.25">
      <c r="A178" s="7">
        <v>177</v>
      </c>
      <c r="B178" t="s">
        <v>721</v>
      </c>
      <c r="C178" s="2" t="s">
        <v>524</v>
      </c>
      <c r="D178">
        <f>COUNTIF('CSC Meetings'!B:B,'CSC Meeting Per Student'!C178)</f>
        <v>2</v>
      </c>
      <c r="E178" t="str">
        <f t="shared" si="2"/>
        <v>Normal</v>
      </c>
    </row>
    <row r="179" spans="1:5" x14ac:dyDescent="0.25">
      <c r="A179" s="7">
        <v>178</v>
      </c>
      <c r="B179" t="s">
        <v>767</v>
      </c>
      <c r="C179" s="2" t="s">
        <v>527</v>
      </c>
      <c r="D179">
        <f>COUNTIF('CSC Meetings'!B:B,'CSC Meeting Per Student'!C179)</f>
        <v>3</v>
      </c>
      <c r="E179" t="str">
        <f t="shared" si="2"/>
        <v>Normal</v>
      </c>
    </row>
    <row r="180" spans="1:5" x14ac:dyDescent="0.25">
      <c r="A180" s="7">
        <v>179</v>
      </c>
      <c r="B180" t="s">
        <v>656</v>
      </c>
      <c r="C180" s="2" t="s">
        <v>530</v>
      </c>
      <c r="D180">
        <f>COUNTIF('CSC Meetings'!B:B,'CSC Meeting Per Student'!C180)</f>
        <v>1</v>
      </c>
      <c r="E180" t="str">
        <f t="shared" si="2"/>
        <v>At Risk</v>
      </c>
    </row>
    <row r="181" spans="1:5" x14ac:dyDescent="0.25">
      <c r="A181" s="7">
        <v>180</v>
      </c>
      <c r="B181" t="s">
        <v>723</v>
      </c>
      <c r="C181" s="2" t="s">
        <v>533</v>
      </c>
      <c r="D181">
        <f>COUNTIF('CSC Meetings'!B:B,'CSC Meeting Per Student'!C181)</f>
        <v>4</v>
      </c>
      <c r="E181" t="str">
        <f t="shared" si="2"/>
        <v>Normal</v>
      </c>
    </row>
    <row r="182" spans="1:5" x14ac:dyDescent="0.25">
      <c r="A182" s="7">
        <v>181</v>
      </c>
      <c r="B182" t="s">
        <v>720</v>
      </c>
      <c r="C182" s="2" t="s">
        <v>536</v>
      </c>
      <c r="D182">
        <f>COUNTIF('CSC Meetings'!B:B,'CSC Meeting Per Student'!C182)</f>
        <v>4</v>
      </c>
      <c r="E182" t="str">
        <f t="shared" si="2"/>
        <v>Normal</v>
      </c>
    </row>
    <row r="183" spans="1:5" x14ac:dyDescent="0.25">
      <c r="A183" s="7">
        <v>182</v>
      </c>
      <c r="B183" t="s">
        <v>678</v>
      </c>
      <c r="C183" s="2" t="s">
        <v>539</v>
      </c>
      <c r="D183">
        <f>COUNTIF('CSC Meetings'!B:B,'CSC Meeting Per Student'!C183)</f>
        <v>1</v>
      </c>
      <c r="E183" t="str">
        <f t="shared" si="2"/>
        <v>At Risk</v>
      </c>
    </row>
    <row r="184" spans="1:5" x14ac:dyDescent="0.25">
      <c r="A184" s="7">
        <v>183</v>
      </c>
      <c r="B184" t="s">
        <v>772</v>
      </c>
      <c r="C184" s="2" t="s">
        <v>541</v>
      </c>
      <c r="D184">
        <f>COUNTIF('CSC Meetings'!B:B,'CSC Meeting Per Student'!C184)</f>
        <v>4</v>
      </c>
      <c r="E184" t="str">
        <f t="shared" si="2"/>
        <v>Normal</v>
      </c>
    </row>
    <row r="185" spans="1:5" x14ac:dyDescent="0.25">
      <c r="A185" s="7">
        <v>184</v>
      </c>
      <c r="B185" t="s">
        <v>800</v>
      </c>
      <c r="C185" s="2" t="s">
        <v>544</v>
      </c>
      <c r="D185">
        <f>COUNTIF('CSC Meetings'!B:B,'CSC Meeting Per Student'!C185)</f>
        <v>3</v>
      </c>
      <c r="E185" t="str">
        <f t="shared" si="2"/>
        <v>Normal</v>
      </c>
    </row>
    <row r="186" spans="1:5" x14ac:dyDescent="0.25">
      <c r="A186" s="7">
        <v>185</v>
      </c>
      <c r="B186" t="s">
        <v>859</v>
      </c>
      <c r="C186" s="2" t="s">
        <v>547</v>
      </c>
      <c r="D186">
        <f>COUNTIF('CSC Meetings'!B:B,'CSC Meeting Per Student'!C186)</f>
        <v>3</v>
      </c>
      <c r="E186" t="str">
        <f t="shared" si="2"/>
        <v>Normal</v>
      </c>
    </row>
    <row r="187" spans="1:5" x14ac:dyDescent="0.25">
      <c r="A187" s="7">
        <v>186</v>
      </c>
      <c r="B187" t="s">
        <v>719</v>
      </c>
      <c r="C187" s="2" t="s">
        <v>550</v>
      </c>
      <c r="D187">
        <f>COUNTIF('CSC Meetings'!B:B,'CSC Meeting Per Student'!C187)</f>
        <v>3</v>
      </c>
      <c r="E187" t="str">
        <f t="shared" si="2"/>
        <v>Normal</v>
      </c>
    </row>
    <row r="188" spans="1:5" x14ac:dyDescent="0.25">
      <c r="A188" s="7">
        <v>187</v>
      </c>
      <c r="B188" t="s">
        <v>718</v>
      </c>
      <c r="C188" s="2" t="s">
        <v>553</v>
      </c>
      <c r="D188">
        <f>COUNTIF('CSC Meetings'!B:B,'CSC Meeting Per Student'!C188)</f>
        <v>2</v>
      </c>
      <c r="E188" t="str">
        <f t="shared" si="2"/>
        <v>Normal</v>
      </c>
    </row>
    <row r="189" spans="1:5" x14ac:dyDescent="0.25">
      <c r="A189" s="7">
        <v>188</v>
      </c>
      <c r="B189" t="s">
        <v>655</v>
      </c>
      <c r="C189" s="2" t="s">
        <v>555</v>
      </c>
      <c r="D189">
        <f>COUNTIF('CSC Meetings'!B:B,'CSC Meeting Per Student'!C189)</f>
        <v>0</v>
      </c>
      <c r="E189" t="str">
        <f t="shared" si="2"/>
        <v>At Risk</v>
      </c>
    </row>
    <row r="190" spans="1:5" x14ac:dyDescent="0.25">
      <c r="A190" s="7">
        <v>189</v>
      </c>
      <c r="B190" t="s">
        <v>715</v>
      </c>
      <c r="C190" s="2" t="s">
        <v>558</v>
      </c>
      <c r="D190">
        <f>COUNTIF('CSC Meetings'!B:B,'CSC Meeting Per Student'!C190)</f>
        <v>4</v>
      </c>
      <c r="E190" t="str">
        <f t="shared" si="2"/>
        <v>Normal</v>
      </c>
    </row>
    <row r="191" spans="1:5" x14ac:dyDescent="0.25">
      <c r="A191" s="7">
        <v>190</v>
      </c>
      <c r="B191" t="s">
        <v>716</v>
      </c>
      <c r="C191" s="2" t="s">
        <v>561</v>
      </c>
      <c r="D191">
        <f>COUNTIF('CSC Meetings'!B:B,'CSC Meeting Per Student'!C191)</f>
        <v>2</v>
      </c>
      <c r="E191" t="str">
        <f t="shared" si="2"/>
        <v>Normal</v>
      </c>
    </row>
    <row r="192" spans="1:5" x14ac:dyDescent="0.25">
      <c r="A192" s="7">
        <v>191</v>
      </c>
      <c r="B192" t="s">
        <v>742</v>
      </c>
      <c r="C192" s="2" t="s">
        <v>564</v>
      </c>
      <c r="D192">
        <f>COUNTIF('CSC Meetings'!B:B,'CSC Meeting Per Student'!C192)</f>
        <v>4</v>
      </c>
      <c r="E192" t="str">
        <f t="shared" si="2"/>
        <v>Normal</v>
      </c>
    </row>
    <row r="193" spans="1:5" x14ac:dyDescent="0.25">
      <c r="A193" s="7">
        <v>192</v>
      </c>
      <c r="B193" t="s">
        <v>673</v>
      </c>
      <c r="C193" s="2" t="s">
        <v>567</v>
      </c>
      <c r="D193">
        <f>COUNTIF('CSC Meetings'!B:B,'CSC Meeting Per Student'!C193)</f>
        <v>2</v>
      </c>
      <c r="E193" t="str">
        <f t="shared" si="2"/>
        <v>Normal</v>
      </c>
    </row>
    <row r="194" spans="1:5" x14ac:dyDescent="0.25">
      <c r="A194" s="7">
        <v>193</v>
      </c>
      <c r="B194" t="s">
        <v>713</v>
      </c>
      <c r="C194" s="2" t="s">
        <v>569</v>
      </c>
      <c r="D194">
        <f>COUNTIF('CSC Meetings'!B:B,'CSC Meeting Per Student'!C194)</f>
        <v>3</v>
      </c>
      <c r="E194" t="str">
        <f t="shared" si="2"/>
        <v>Normal</v>
      </c>
    </row>
    <row r="195" spans="1:5" x14ac:dyDescent="0.25">
      <c r="A195" s="7">
        <v>194</v>
      </c>
      <c r="B195" t="s">
        <v>706</v>
      </c>
      <c r="C195" s="2" t="s">
        <v>572</v>
      </c>
      <c r="D195">
        <f>COUNTIF('CSC Meetings'!B:B,'CSC Meeting Per Student'!C195)</f>
        <v>3</v>
      </c>
      <c r="E195" t="str">
        <f t="shared" ref="E195:E217" si="3">+IF(D195&lt;2,"At Risk","Normal")</f>
        <v>Normal</v>
      </c>
    </row>
    <row r="196" spans="1:5" x14ac:dyDescent="0.25">
      <c r="A196" s="7">
        <v>195</v>
      </c>
      <c r="B196" t="s">
        <v>664</v>
      </c>
      <c r="C196" s="2" t="s">
        <v>575</v>
      </c>
      <c r="D196">
        <f>COUNTIF('CSC Meetings'!B:B,'CSC Meeting Per Student'!C196)</f>
        <v>4</v>
      </c>
      <c r="E196" t="str">
        <f t="shared" si="3"/>
        <v>Normal</v>
      </c>
    </row>
    <row r="197" spans="1:5" x14ac:dyDescent="0.25">
      <c r="A197" s="7">
        <v>196</v>
      </c>
      <c r="B197" t="s">
        <v>709</v>
      </c>
      <c r="C197" s="2" t="s">
        <v>578</v>
      </c>
      <c r="D197">
        <f>COUNTIF('CSC Meetings'!B:B,'CSC Meeting Per Student'!C197)</f>
        <v>4</v>
      </c>
      <c r="E197" t="str">
        <f t="shared" si="3"/>
        <v>Normal</v>
      </c>
    </row>
    <row r="198" spans="1:5" x14ac:dyDescent="0.25">
      <c r="A198" s="7">
        <v>197</v>
      </c>
      <c r="B198" t="s">
        <v>677</v>
      </c>
      <c r="C198" s="2" t="s">
        <v>580</v>
      </c>
      <c r="D198">
        <f>COUNTIF('CSC Meetings'!B:B,'CSC Meeting Per Student'!C198)</f>
        <v>4</v>
      </c>
      <c r="E198" t="str">
        <f t="shared" si="3"/>
        <v>Normal</v>
      </c>
    </row>
    <row r="199" spans="1:5" x14ac:dyDescent="0.25">
      <c r="A199" s="7">
        <v>198</v>
      </c>
      <c r="B199" t="s">
        <v>699</v>
      </c>
      <c r="C199" s="2" t="s">
        <v>582</v>
      </c>
      <c r="D199">
        <f>COUNTIF('CSC Meetings'!B:B,'CSC Meeting Per Student'!C199)</f>
        <v>4</v>
      </c>
      <c r="E199" t="str">
        <f t="shared" si="3"/>
        <v>Normal</v>
      </c>
    </row>
    <row r="200" spans="1:5" x14ac:dyDescent="0.25">
      <c r="A200" s="7">
        <v>199</v>
      </c>
      <c r="B200" t="s">
        <v>708</v>
      </c>
      <c r="C200" s="2" t="s">
        <v>584</v>
      </c>
      <c r="D200">
        <f>COUNTIF('CSC Meetings'!B:B,'CSC Meeting Per Student'!C200)</f>
        <v>4</v>
      </c>
      <c r="E200" t="str">
        <f t="shared" si="3"/>
        <v>Normal</v>
      </c>
    </row>
    <row r="201" spans="1:5" x14ac:dyDescent="0.25">
      <c r="A201" s="7">
        <v>200</v>
      </c>
      <c r="B201" t="s">
        <v>838</v>
      </c>
      <c r="C201" s="2" t="s">
        <v>587</v>
      </c>
      <c r="D201">
        <f>COUNTIF('CSC Meetings'!B:B,'CSC Meeting Per Student'!C201)</f>
        <v>3</v>
      </c>
      <c r="E201" t="str">
        <f t="shared" si="3"/>
        <v>Normal</v>
      </c>
    </row>
    <row r="202" spans="1:5" x14ac:dyDescent="0.25">
      <c r="A202" s="7">
        <v>201</v>
      </c>
      <c r="B202" t="s">
        <v>838</v>
      </c>
      <c r="C202" s="2" t="s">
        <v>588</v>
      </c>
      <c r="D202">
        <f>COUNTIF('CSC Meetings'!B:B,'CSC Meeting Per Student'!C202)</f>
        <v>2</v>
      </c>
      <c r="E202" t="str">
        <f t="shared" si="3"/>
        <v>Normal</v>
      </c>
    </row>
    <row r="203" spans="1:5" x14ac:dyDescent="0.25">
      <c r="A203" s="7">
        <v>202</v>
      </c>
      <c r="B203" t="s">
        <v>705</v>
      </c>
      <c r="C203" s="2" t="s">
        <v>591</v>
      </c>
      <c r="D203">
        <f>COUNTIF('CSC Meetings'!B:B,'CSC Meeting Per Student'!C203)</f>
        <v>2</v>
      </c>
      <c r="E203" t="str">
        <f t="shared" si="3"/>
        <v>Normal</v>
      </c>
    </row>
    <row r="204" spans="1:5" x14ac:dyDescent="0.25">
      <c r="A204" s="7">
        <v>203</v>
      </c>
      <c r="B204" t="s">
        <v>703</v>
      </c>
      <c r="C204" s="2" t="s">
        <v>594</v>
      </c>
      <c r="D204">
        <f>COUNTIF('CSC Meetings'!B:B,'CSC Meeting Per Student'!C204)</f>
        <v>2</v>
      </c>
      <c r="E204" t="str">
        <f t="shared" si="3"/>
        <v>Normal</v>
      </c>
    </row>
    <row r="205" spans="1:5" x14ac:dyDescent="0.25">
      <c r="A205" s="7">
        <v>204</v>
      </c>
      <c r="B205" t="s">
        <v>663</v>
      </c>
      <c r="C205" s="2" t="s">
        <v>597</v>
      </c>
      <c r="D205">
        <f>COUNTIF('CSC Meetings'!B:B,'CSC Meeting Per Student'!C205)</f>
        <v>3</v>
      </c>
      <c r="E205" t="str">
        <f t="shared" si="3"/>
        <v>Normal</v>
      </c>
    </row>
    <row r="206" spans="1:5" x14ac:dyDescent="0.25">
      <c r="A206" s="7">
        <v>205</v>
      </c>
      <c r="B206" t="s">
        <v>702</v>
      </c>
      <c r="C206" s="2" t="s">
        <v>600</v>
      </c>
      <c r="D206">
        <f>COUNTIF('CSC Meetings'!B:B,'CSC Meeting Per Student'!C206)</f>
        <v>3</v>
      </c>
      <c r="E206" t="str">
        <f t="shared" si="3"/>
        <v>Normal</v>
      </c>
    </row>
    <row r="207" spans="1:5" x14ac:dyDescent="0.25">
      <c r="A207" s="7">
        <v>206</v>
      </c>
      <c r="B207" t="s">
        <v>820</v>
      </c>
      <c r="C207" s="2" t="s">
        <v>603</v>
      </c>
      <c r="D207">
        <f>COUNTIF('CSC Meetings'!B:B,'CSC Meeting Per Student'!C207)</f>
        <v>3</v>
      </c>
      <c r="E207" t="str">
        <f t="shared" si="3"/>
        <v>Normal</v>
      </c>
    </row>
    <row r="208" spans="1:5" x14ac:dyDescent="0.25">
      <c r="A208" s="7">
        <v>207</v>
      </c>
      <c r="B208" t="s">
        <v>672</v>
      </c>
      <c r="C208" s="2" t="s">
        <v>606</v>
      </c>
      <c r="D208">
        <f>COUNTIF('CSC Meetings'!B:B,'CSC Meeting Per Student'!C208)</f>
        <v>4</v>
      </c>
      <c r="E208" t="str">
        <f t="shared" si="3"/>
        <v>Normal</v>
      </c>
    </row>
    <row r="209" spans="1:5" x14ac:dyDescent="0.25">
      <c r="A209" s="7">
        <v>208</v>
      </c>
      <c r="B209" t="s">
        <v>679</v>
      </c>
      <c r="C209" s="2" t="s">
        <v>609</v>
      </c>
      <c r="D209">
        <f>COUNTIF('CSC Meetings'!B:B,'CSC Meeting Per Student'!C209)</f>
        <v>1</v>
      </c>
      <c r="E209" t="str">
        <f t="shared" si="3"/>
        <v>At Risk</v>
      </c>
    </row>
    <row r="210" spans="1:5" x14ac:dyDescent="0.25">
      <c r="A210" s="7">
        <v>209</v>
      </c>
      <c r="B210" t="s">
        <v>653</v>
      </c>
      <c r="C210" s="2" t="s">
        <v>612</v>
      </c>
      <c r="D210">
        <f>COUNTIF('CSC Meetings'!B:B,'CSC Meeting Per Student'!C210)</f>
        <v>1</v>
      </c>
      <c r="E210" t="str">
        <f t="shared" si="3"/>
        <v>At Risk</v>
      </c>
    </row>
    <row r="211" spans="1:5" x14ac:dyDescent="0.25">
      <c r="A211" s="7">
        <v>210</v>
      </c>
      <c r="B211" t="s">
        <v>662</v>
      </c>
      <c r="C211" s="2" t="s">
        <v>614</v>
      </c>
      <c r="D211">
        <f>COUNTIF('CSC Meetings'!B:B,'CSC Meeting Per Student'!C211)</f>
        <v>3</v>
      </c>
      <c r="E211" t="str">
        <f t="shared" si="3"/>
        <v>Normal</v>
      </c>
    </row>
    <row r="212" spans="1:5" x14ac:dyDescent="0.25">
      <c r="A212" s="7">
        <v>211</v>
      </c>
      <c r="B212" t="s">
        <v>695</v>
      </c>
      <c r="C212" s="2" t="s">
        <v>617</v>
      </c>
      <c r="D212">
        <f>COUNTIF('CSC Meetings'!B:B,'CSC Meeting Per Student'!C212)</f>
        <v>3</v>
      </c>
      <c r="E212" t="str">
        <f t="shared" si="3"/>
        <v>Normal</v>
      </c>
    </row>
    <row r="213" spans="1:5" x14ac:dyDescent="0.25">
      <c r="A213" s="7">
        <v>212</v>
      </c>
      <c r="B213" t="s">
        <v>696</v>
      </c>
      <c r="C213" s="2" t="s">
        <v>620</v>
      </c>
      <c r="D213">
        <f>COUNTIF('CSC Meetings'!B:B,'CSC Meeting Per Student'!C213)</f>
        <v>4</v>
      </c>
      <c r="E213" t="str">
        <f t="shared" si="3"/>
        <v>Normal</v>
      </c>
    </row>
    <row r="214" spans="1:5" x14ac:dyDescent="0.25">
      <c r="A214" s="7">
        <v>213</v>
      </c>
      <c r="B214" t="s">
        <v>660</v>
      </c>
      <c r="C214" s="2" t="s">
        <v>622</v>
      </c>
      <c r="D214">
        <f>COUNTIF('CSC Meetings'!B:B,'CSC Meeting Per Student'!C214)</f>
        <v>4</v>
      </c>
      <c r="E214" t="str">
        <f t="shared" si="3"/>
        <v>Normal</v>
      </c>
    </row>
    <row r="215" spans="1:5" x14ac:dyDescent="0.25">
      <c r="A215" s="7">
        <v>214</v>
      </c>
      <c r="B215" t="s">
        <v>661</v>
      </c>
      <c r="C215" s="2" t="s">
        <v>625</v>
      </c>
      <c r="D215">
        <f>COUNTIF('CSC Meetings'!B:B,'CSC Meeting Per Student'!C215)</f>
        <v>2</v>
      </c>
      <c r="E215" t="str">
        <f t="shared" si="3"/>
        <v>Normal</v>
      </c>
    </row>
    <row r="216" spans="1:5" x14ac:dyDescent="0.25">
      <c r="A216" s="7">
        <v>215</v>
      </c>
      <c r="B216" t="s">
        <v>669</v>
      </c>
      <c r="C216" s="2" t="s">
        <v>628</v>
      </c>
      <c r="D216">
        <f>COUNTIF('CSC Meetings'!B:B,'CSC Meeting Per Student'!C216)</f>
        <v>1</v>
      </c>
      <c r="E216" t="str">
        <f t="shared" si="3"/>
        <v>At Risk</v>
      </c>
    </row>
    <row r="217" spans="1:5" x14ac:dyDescent="0.25">
      <c r="A217" s="7">
        <v>216</v>
      </c>
      <c r="B217" t="s">
        <v>671</v>
      </c>
      <c r="C217" s="2" t="s">
        <v>631</v>
      </c>
      <c r="D217">
        <f>COUNTIF('CSC Meetings'!B:B,'CSC Meeting Per Student'!C217)</f>
        <v>4</v>
      </c>
      <c r="E217" t="str">
        <f t="shared" si="3"/>
        <v>Normal</v>
      </c>
    </row>
  </sheetData>
  <conditionalFormatting sqref="C1:E1">
    <cfRule type="expression" dxfId="0" priority="1">
      <formula>"C2=IF("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Roster</vt:lpstr>
      <vt:lpstr>Off Track Fellows</vt:lpstr>
      <vt:lpstr>Class Attendance</vt:lpstr>
      <vt:lpstr>PD Project</vt:lpstr>
      <vt:lpstr>CSC Meetings</vt:lpstr>
      <vt:lpstr>CSC Meeting Per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Jose Gonzalez Sierra</cp:lastModifiedBy>
  <dcterms:created xsi:type="dcterms:W3CDTF">2026-05-20T12:34:13Z</dcterms:created>
  <dcterms:modified xsi:type="dcterms:W3CDTF">2026-05-20T12:44:00Z</dcterms:modified>
</cp:coreProperties>
</file>